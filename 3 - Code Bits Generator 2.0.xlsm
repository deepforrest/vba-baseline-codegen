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orre\Desktop\"/>
    </mc:Choice>
  </mc:AlternateContent>
  <xr:revisionPtr revIDLastSave="0" documentId="8_{0EA9EE69-CF96-4C04-A399-2F64678E0456}" xr6:coauthVersionLast="47" xr6:coauthVersionMax="47" xr10:uidLastSave="{00000000-0000-0000-0000-000000000000}"/>
  <bookViews>
    <workbookView xWindow="28830" yWindow="0" windowWidth="28770" windowHeight="15420" activeTab="1" xr2:uid="{856FE27C-F6CB-4C8F-903E-9D403A652A4E}"/>
  </bookViews>
  <sheets>
    <sheet name="Inputs" sheetId="1" r:id="rId1"/>
    <sheet name="Declarations" sheetId="3" r:id="rId2"/>
    <sheet name="Setter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5" i="1" l="1"/>
  <c r="AA19" i="1"/>
  <c r="AA32" i="1"/>
  <c r="AA6" i="1"/>
  <c r="AA54" i="1"/>
  <c r="AA53" i="1"/>
  <c r="AA52" i="1"/>
  <c r="AA51" i="1"/>
  <c r="AA50" i="1"/>
  <c r="AA49" i="1"/>
  <c r="AA48" i="1"/>
  <c r="AA47" i="1"/>
  <c r="AA46" i="1"/>
  <c r="AA44" i="1"/>
  <c r="AA43" i="1"/>
  <c r="AA42" i="1"/>
  <c r="AA28" i="1"/>
  <c r="AA27" i="1"/>
  <c r="AA26" i="1"/>
  <c r="AA25" i="1"/>
  <c r="AA24" i="1"/>
  <c r="AA23" i="1"/>
  <c r="AA22" i="1"/>
  <c r="AA21" i="1"/>
  <c r="AA20" i="1"/>
  <c r="AA18" i="1"/>
  <c r="AA17" i="1"/>
  <c r="AA16" i="1"/>
  <c r="AA41" i="1"/>
  <c r="AA40" i="1"/>
  <c r="AA39" i="1"/>
  <c r="AA38" i="1"/>
  <c r="AA37" i="1"/>
  <c r="AA36" i="1"/>
  <c r="AA35" i="1"/>
  <c r="AA34" i="1"/>
  <c r="AA33" i="1"/>
  <c r="AA31" i="1"/>
  <c r="AA30" i="1"/>
  <c r="AA29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15" i="1"/>
  <c r="AA14" i="1"/>
  <c r="AA13" i="1"/>
  <c r="AA12" i="1"/>
  <c r="AA11" i="1"/>
  <c r="AA10" i="1"/>
  <c r="AA9" i="1"/>
  <c r="AA8" i="1"/>
  <c r="AA7" i="1"/>
  <c r="AA5" i="1"/>
  <c r="AA4" i="1"/>
  <c r="AA3" i="1"/>
  <c r="AA80" i="1"/>
  <c r="AA79" i="1"/>
  <c r="AA78" i="1"/>
  <c r="AA77" i="1"/>
  <c r="AA76" i="1"/>
  <c r="AA75" i="1"/>
  <c r="AA61" i="1"/>
  <c r="AA60" i="1"/>
  <c r="AA59" i="1"/>
  <c r="AA58" i="1"/>
  <c r="AA57" i="1"/>
  <c r="AA56" i="1"/>
  <c r="AA55" i="1"/>
  <c r="K13" i="1"/>
  <c r="K12" i="1"/>
  <c r="K11" i="1"/>
  <c r="K10" i="1"/>
  <c r="K9" i="1"/>
  <c r="K8" i="1"/>
  <c r="K7" i="1"/>
  <c r="K6" i="1"/>
  <c r="K5" i="1"/>
  <c r="K4" i="1"/>
  <c r="K3" i="1"/>
  <c r="D3" i="1"/>
  <c r="Q7" i="1"/>
  <c r="Q5" i="1"/>
  <c r="Q3" i="1"/>
  <c r="Q9" i="1"/>
  <c r="Q8" i="1"/>
  <c r="Q6" i="1"/>
  <c r="Q4" i="1"/>
  <c r="Q10" i="1"/>
  <c r="Q11" i="1"/>
  <c r="Q12" i="1"/>
  <c r="Q13" i="1"/>
  <c r="K14" i="1"/>
  <c r="Q14" i="1"/>
  <c r="K15" i="1"/>
  <c r="Q15" i="1"/>
  <c r="K16" i="1"/>
  <c r="Q16" i="1"/>
  <c r="K17" i="1"/>
  <c r="Q17" i="1"/>
  <c r="K18" i="1"/>
  <c r="Q18" i="1"/>
  <c r="K19" i="1"/>
  <c r="Q19" i="1"/>
  <c r="K20" i="1"/>
  <c r="Q20" i="1"/>
  <c r="K21" i="1"/>
  <c r="Q21" i="1"/>
  <c r="K22" i="1"/>
  <c r="Q22" i="1"/>
  <c r="K23" i="1"/>
  <c r="Q23" i="1"/>
  <c r="K24" i="1"/>
  <c r="Q24" i="1"/>
  <c r="K25" i="1"/>
  <c r="Q25" i="1"/>
  <c r="K26" i="1"/>
  <c r="Q26" i="1"/>
  <c r="K27" i="1"/>
  <c r="Q27" i="1"/>
  <c r="K28" i="1"/>
  <c r="Q28" i="1"/>
  <c r="K29" i="1"/>
  <c r="Q29" i="1"/>
  <c r="K30" i="1"/>
  <c r="Q30" i="1"/>
  <c r="K31" i="1"/>
  <c r="Q31" i="1"/>
  <c r="K32" i="1"/>
  <c r="Q32" i="1"/>
  <c r="K33" i="1"/>
  <c r="Q33" i="1"/>
  <c r="K34" i="1"/>
  <c r="Q34" i="1"/>
  <c r="K35" i="1"/>
  <c r="Q35" i="1"/>
  <c r="K36" i="1"/>
  <c r="Q36" i="1"/>
  <c r="K37" i="1"/>
  <c r="Q37" i="1"/>
  <c r="K38" i="1"/>
  <c r="Q38" i="1"/>
  <c r="K39" i="1"/>
  <c r="Q39" i="1"/>
  <c r="K40" i="1"/>
  <c r="Q40" i="1"/>
  <c r="K41" i="1"/>
  <c r="Q41" i="1"/>
  <c r="K42" i="1"/>
  <c r="Q42" i="1"/>
  <c r="K43" i="1"/>
  <c r="Q43" i="1"/>
  <c r="K44" i="1"/>
  <c r="Q44" i="1"/>
  <c r="K45" i="1"/>
  <c r="Q45" i="1"/>
  <c r="K46" i="1"/>
  <c r="Q46" i="1"/>
  <c r="K47" i="1"/>
  <c r="Q47" i="1"/>
  <c r="K48" i="1"/>
  <c r="Q48" i="1"/>
  <c r="K49" i="1"/>
  <c r="Q49" i="1"/>
  <c r="K50" i="1"/>
  <c r="Q50" i="1"/>
  <c r="K51" i="1"/>
  <c r="Q51" i="1"/>
  <c r="K52" i="1"/>
  <c r="Q52" i="1"/>
  <c r="K53" i="1"/>
  <c r="Q53" i="1"/>
  <c r="K54" i="1"/>
  <c r="Q54" i="1"/>
  <c r="K55" i="1"/>
  <c r="Q55" i="1"/>
  <c r="K56" i="1"/>
  <c r="Q56" i="1"/>
  <c r="K57" i="1"/>
  <c r="Q57" i="1"/>
  <c r="K58" i="1"/>
  <c r="Q58" i="1"/>
  <c r="K59" i="1"/>
  <c r="Q59" i="1"/>
  <c r="K60" i="1"/>
  <c r="Q60" i="1"/>
  <c r="K61" i="1"/>
  <c r="Q61" i="1"/>
  <c r="K62" i="1"/>
  <c r="Q62" i="1"/>
  <c r="K63" i="1"/>
  <c r="Q63" i="1"/>
  <c r="K64" i="1"/>
  <c r="Q64" i="1"/>
  <c r="K65" i="1"/>
  <c r="Q65" i="1"/>
  <c r="K66" i="1"/>
  <c r="Q66" i="1"/>
  <c r="K67" i="1"/>
  <c r="Q67" i="1"/>
  <c r="K68" i="1"/>
  <c r="Q68" i="1"/>
  <c r="K69" i="1"/>
  <c r="Q69" i="1"/>
  <c r="K70" i="1"/>
  <c r="Q70" i="1"/>
  <c r="K71" i="1"/>
  <c r="Q71" i="1"/>
  <c r="K72" i="1"/>
  <c r="Q72" i="1"/>
  <c r="K73" i="1"/>
  <c r="Q73" i="1"/>
  <c r="K74" i="1"/>
  <c r="Q74" i="1"/>
  <c r="K75" i="1"/>
  <c r="Q75" i="1"/>
  <c r="K76" i="1"/>
  <c r="Q76" i="1"/>
  <c r="AA74" i="1"/>
  <c r="K77" i="1"/>
  <c r="Q77" i="1"/>
  <c r="K78" i="1"/>
  <c r="Q78" i="1"/>
  <c r="K79" i="1"/>
  <c r="Q79" i="1"/>
  <c r="K80" i="1"/>
  <c r="Q80" i="1"/>
  <c r="K81" i="1"/>
  <c r="Q81" i="1"/>
  <c r="AA81" i="1"/>
  <c r="K82" i="1"/>
  <c r="Q82" i="1"/>
  <c r="AA82" i="1"/>
  <c r="K83" i="1"/>
  <c r="Q83" i="1"/>
  <c r="AA83" i="1"/>
  <c r="K84" i="1"/>
  <c r="Q84" i="1"/>
  <c r="AA84" i="1"/>
  <c r="K85" i="1"/>
  <c r="Q85" i="1"/>
  <c r="AA85" i="1"/>
  <c r="K86" i="1"/>
  <c r="Q86" i="1"/>
  <c r="AA86" i="1"/>
  <c r="K87" i="1"/>
  <c r="Q87" i="1"/>
  <c r="AA87" i="1"/>
  <c r="K88" i="1"/>
  <c r="Q88" i="1"/>
  <c r="AA88" i="1"/>
  <c r="K89" i="1"/>
  <c r="Q89" i="1"/>
  <c r="AA89" i="1"/>
  <c r="K90" i="1"/>
  <c r="Q90" i="1"/>
  <c r="AA90" i="1"/>
  <c r="K91" i="1"/>
  <c r="Q91" i="1"/>
  <c r="AA91" i="1"/>
  <c r="K92" i="1"/>
  <c r="Q92" i="1"/>
  <c r="AA92" i="1"/>
  <c r="K93" i="1"/>
  <c r="Q93" i="1"/>
  <c r="AA93" i="1"/>
  <c r="K94" i="1"/>
  <c r="Q94" i="1"/>
  <c r="AA94" i="1"/>
  <c r="K95" i="1"/>
  <c r="Q95" i="1"/>
  <c r="AA95" i="1"/>
  <c r="K96" i="1"/>
  <c r="Q96" i="1"/>
  <c r="AA96" i="1"/>
  <c r="K97" i="1"/>
  <c r="Q97" i="1"/>
  <c r="AA97" i="1"/>
  <c r="K98" i="1"/>
  <c r="Q98" i="1"/>
  <c r="AA98" i="1"/>
  <c r="K99" i="1"/>
  <c r="Q99" i="1"/>
  <c r="AA99" i="1"/>
  <c r="K100" i="1"/>
  <c r="Q100" i="1"/>
  <c r="AA100" i="1"/>
  <c r="K101" i="1"/>
  <c r="Q101" i="1"/>
  <c r="AA101" i="1"/>
  <c r="K102" i="1"/>
  <c r="Q102" i="1"/>
  <c r="AA102" i="1"/>
  <c r="K103" i="1"/>
  <c r="Q103" i="1"/>
  <c r="AA103" i="1"/>
  <c r="K104" i="1"/>
  <c r="Q104" i="1"/>
  <c r="AA104" i="1"/>
  <c r="K105" i="1"/>
  <c r="Q105" i="1"/>
  <c r="AA105" i="1"/>
  <c r="K106" i="1"/>
  <c r="Q106" i="1"/>
  <c r="AA106" i="1"/>
  <c r="K107" i="1"/>
  <c r="Q107" i="1"/>
  <c r="AA107" i="1"/>
  <c r="K108" i="1"/>
  <c r="Q108" i="1"/>
  <c r="AA108" i="1"/>
  <c r="K109" i="1"/>
  <c r="Q109" i="1"/>
  <c r="AA109" i="1"/>
  <c r="K110" i="1"/>
  <c r="Q110" i="1"/>
  <c r="AA110" i="1"/>
  <c r="K111" i="1"/>
  <c r="Q111" i="1"/>
  <c r="AA111" i="1"/>
  <c r="K112" i="1"/>
  <c r="Q112" i="1"/>
  <c r="AA112" i="1"/>
  <c r="K113" i="1"/>
  <c r="Q113" i="1"/>
  <c r="AA113" i="1"/>
  <c r="K114" i="1"/>
  <c r="Q114" i="1"/>
  <c r="AA114" i="1"/>
  <c r="K115" i="1"/>
  <c r="Q115" i="1"/>
  <c r="AA115" i="1"/>
  <c r="K116" i="1"/>
  <c r="Q116" i="1"/>
  <c r="AA116" i="1"/>
  <c r="K117" i="1"/>
  <c r="Q117" i="1"/>
  <c r="AA117" i="1"/>
  <c r="K118" i="1"/>
  <c r="Q118" i="1"/>
  <c r="AA118" i="1"/>
  <c r="K119" i="1"/>
  <c r="Q119" i="1"/>
  <c r="AA119" i="1"/>
  <c r="K120" i="1"/>
  <c r="Q120" i="1"/>
  <c r="AA120" i="1"/>
  <c r="K121" i="1"/>
  <c r="Q121" i="1"/>
  <c r="AA121" i="1"/>
  <c r="K122" i="1"/>
  <c r="Q122" i="1"/>
  <c r="AA122" i="1"/>
  <c r="K123" i="1"/>
  <c r="Q123" i="1"/>
  <c r="AA123" i="1"/>
  <c r="K124" i="1"/>
  <c r="Q124" i="1"/>
  <c r="AA124" i="1"/>
  <c r="K125" i="1"/>
  <c r="Q125" i="1"/>
  <c r="AA125" i="1"/>
  <c r="K126" i="1"/>
  <c r="Q126" i="1"/>
  <c r="AA126" i="1"/>
  <c r="K127" i="1"/>
  <c r="Q127" i="1"/>
  <c r="AA127" i="1"/>
  <c r="K128" i="1"/>
  <c r="Q128" i="1"/>
  <c r="AA128" i="1"/>
  <c r="K129" i="1"/>
  <c r="Q129" i="1"/>
  <c r="AA129" i="1"/>
  <c r="K130" i="1"/>
  <c r="Q130" i="1"/>
  <c r="AA130" i="1"/>
  <c r="K131" i="1"/>
  <c r="Q131" i="1"/>
  <c r="AA131" i="1"/>
  <c r="K132" i="1"/>
  <c r="Q132" i="1"/>
  <c r="AA132" i="1"/>
  <c r="K133" i="1"/>
  <c r="Q133" i="1"/>
  <c r="AA133" i="1"/>
  <c r="K134" i="1"/>
  <c r="Q134" i="1"/>
  <c r="AA134" i="1"/>
  <c r="K135" i="1"/>
  <c r="Q135" i="1"/>
  <c r="AA135" i="1"/>
  <c r="K136" i="1"/>
  <c r="Q136" i="1"/>
  <c r="AA136" i="1"/>
  <c r="K137" i="1"/>
  <c r="Q137" i="1"/>
  <c r="AA137" i="1"/>
  <c r="K138" i="1"/>
  <c r="Q138" i="1"/>
  <c r="AA138" i="1"/>
  <c r="K139" i="1"/>
  <c r="Q139" i="1"/>
  <c r="AA139" i="1"/>
  <c r="K140" i="1"/>
  <c r="Q140" i="1"/>
  <c r="AA140" i="1"/>
  <c r="K141" i="1"/>
  <c r="Q141" i="1"/>
  <c r="AA141" i="1"/>
  <c r="K142" i="1"/>
  <c r="Q142" i="1"/>
  <c r="AA142" i="1"/>
  <c r="K143" i="1"/>
  <c r="Q143" i="1"/>
  <c r="AA143" i="1"/>
  <c r="K144" i="1"/>
  <c r="Q144" i="1"/>
  <c r="AA144" i="1"/>
  <c r="K145" i="1"/>
  <c r="Q145" i="1"/>
  <c r="AA145" i="1"/>
  <c r="K146" i="1"/>
  <c r="Q146" i="1"/>
  <c r="AA146" i="1"/>
  <c r="K147" i="1"/>
  <c r="Q147" i="1"/>
  <c r="AA147" i="1"/>
  <c r="K148" i="1"/>
  <c r="Q148" i="1"/>
  <c r="AA148" i="1"/>
  <c r="K149" i="1"/>
  <c r="Q149" i="1"/>
  <c r="AA149" i="1"/>
  <c r="K150" i="1"/>
  <c r="Q150" i="1"/>
  <c r="AA150" i="1"/>
  <c r="K151" i="1"/>
  <c r="Q151" i="1"/>
  <c r="AA151" i="1"/>
  <c r="K152" i="1"/>
  <c r="Q152" i="1"/>
  <c r="AA152" i="1"/>
  <c r="K153" i="1"/>
  <c r="Q153" i="1"/>
  <c r="AA153" i="1"/>
  <c r="K154" i="1"/>
  <c r="Q154" i="1"/>
  <c r="AA154" i="1"/>
  <c r="K155" i="1"/>
  <c r="Q155" i="1"/>
  <c r="AA155" i="1"/>
  <c r="K156" i="1"/>
  <c r="Q156" i="1"/>
  <c r="AA156" i="1"/>
  <c r="K157" i="1"/>
  <c r="Q157" i="1"/>
  <c r="AA157" i="1"/>
  <c r="K158" i="1"/>
  <c r="Q158" i="1"/>
  <c r="AA158" i="1"/>
  <c r="K159" i="1"/>
  <c r="Q159" i="1"/>
  <c r="AA159" i="1"/>
  <c r="K160" i="1"/>
  <c r="Q160" i="1"/>
  <c r="AA160" i="1"/>
  <c r="K161" i="1"/>
  <c r="Q161" i="1"/>
  <c r="AA161" i="1"/>
  <c r="K162" i="1"/>
  <c r="Q162" i="1"/>
  <c r="AA162" i="1"/>
  <c r="K163" i="1"/>
  <c r="Q163" i="1"/>
  <c r="AA163" i="1"/>
  <c r="K164" i="1"/>
  <c r="Q164" i="1"/>
  <c r="AA164" i="1"/>
  <c r="K165" i="1"/>
  <c r="Q165" i="1"/>
  <c r="AA165" i="1"/>
  <c r="K166" i="1"/>
  <c r="Q166" i="1"/>
  <c r="AA166" i="1"/>
  <c r="K167" i="1"/>
  <c r="Q167" i="1"/>
  <c r="AA167" i="1"/>
  <c r="K168" i="1"/>
  <c r="Q168" i="1"/>
  <c r="AA168" i="1"/>
  <c r="K169" i="1"/>
  <c r="Q169" i="1"/>
  <c r="AA169" i="1"/>
  <c r="K170" i="1"/>
  <c r="Q170" i="1"/>
  <c r="AA170" i="1"/>
  <c r="K171" i="1"/>
  <c r="Q171" i="1"/>
  <c r="AA171" i="1"/>
  <c r="K172" i="1"/>
  <c r="Q172" i="1"/>
  <c r="AA172" i="1"/>
  <c r="K173" i="1"/>
  <c r="Q173" i="1"/>
  <c r="AA173" i="1"/>
  <c r="K174" i="1"/>
  <c r="Q174" i="1"/>
  <c r="AA174" i="1"/>
  <c r="K175" i="1"/>
  <c r="Q175" i="1"/>
  <c r="AA175" i="1"/>
  <c r="K176" i="1"/>
  <c r="Q176" i="1"/>
  <c r="AA176" i="1"/>
  <c r="K177" i="1"/>
  <c r="Q177" i="1"/>
  <c r="AA177" i="1"/>
  <c r="K178" i="1"/>
  <c r="Q178" i="1"/>
  <c r="AA178" i="1"/>
  <c r="K179" i="1"/>
  <c r="Q179" i="1"/>
  <c r="AA179" i="1"/>
  <c r="K180" i="1"/>
  <c r="Q180" i="1"/>
  <c r="AA180" i="1"/>
  <c r="K181" i="1"/>
  <c r="Q181" i="1"/>
  <c r="AA181" i="1"/>
  <c r="K182" i="1"/>
  <c r="Q182" i="1"/>
  <c r="AA182" i="1"/>
  <c r="K183" i="1"/>
  <c r="Q183" i="1"/>
  <c r="AA183" i="1"/>
  <c r="K184" i="1"/>
  <c r="Q184" i="1"/>
  <c r="AA184" i="1"/>
  <c r="K185" i="1"/>
  <c r="Q185" i="1"/>
  <c r="AA185" i="1"/>
  <c r="K186" i="1"/>
  <c r="Q186" i="1"/>
  <c r="AA186" i="1"/>
  <c r="K187" i="1"/>
  <c r="Q187" i="1"/>
  <c r="AA187" i="1"/>
  <c r="K188" i="1"/>
  <c r="Q188" i="1"/>
  <c r="AA188" i="1"/>
  <c r="K189" i="1"/>
  <c r="Q189" i="1"/>
  <c r="AA189" i="1"/>
  <c r="K190" i="1"/>
  <c r="Q190" i="1"/>
  <c r="AA190" i="1"/>
  <c r="K191" i="1"/>
  <c r="Q191" i="1"/>
  <c r="AA191" i="1"/>
  <c r="K192" i="1"/>
  <c r="Q192" i="1"/>
  <c r="AA192" i="1"/>
  <c r="K193" i="1"/>
  <c r="Q193" i="1"/>
  <c r="AA193" i="1"/>
  <c r="K194" i="1"/>
  <c r="Q194" i="1"/>
  <c r="AA194" i="1"/>
  <c r="K195" i="1"/>
  <c r="Q195" i="1"/>
  <c r="AA195" i="1"/>
  <c r="K196" i="1"/>
  <c r="Q196" i="1"/>
  <c r="AA196" i="1"/>
  <c r="K197" i="1"/>
  <c r="Q197" i="1"/>
  <c r="AA197" i="1"/>
  <c r="K198" i="1"/>
  <c r="Q198" i="1"/>
  <c r="AA198" i="1"/>
  <c r="K199" i="1"/>
  <c r="Q199" i="1"/>
  <c r="AA199" i="1"/>
  <c r="K200" i="1"/>
  <c r="Q200" i="1"/>
  <c r="AA200" i="1"/>
  <c r="D200" i="1" l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</calcChain>
</file>

<file path=xl/sharedStrings.xml><?xml version="1.0" encoding="utf-8"?>
<sst xmlns="http://schemas.openxmlformats.org/spreadsheetml/2006/main" count="1163" uniqueCount="753">
  <si>
    <t>Worksheet</t>
  </si>
  <si>
    <t>Workbook</t>
  </si>
  <si>
    <t>Table</t>
  </si>
  <si>
    <t>WBs</t>
  </si>
  <si>
    <t>WSs</t>
  </si>
  <si>
    <t>TBLs</t>
  </si>
  <si>
    <t>Cell/Header/Column</t>
  </si>
  <si>
    <t>Init</t>
  </si>
  <si>
    <t>Type</t>
  </si>
  <si>
    <t>Const</t>
  </si>
  <si>
    <t>Var</t>
  </si>
  <si>
    <t>Value</t>
  </si>
  <si>
    <t>Constants</t>
  </si>
  <si>
    <t>Variables</t>
  </si>
  <si>
    <t>Par Low</t>
  </si>
  <si>
    <t>Par High</t>
  </si>
  <si>
    <t>Size (bytes)</t>
  </si>
  <si>
    <t>Variable Selection Table</t>
  </si>
  <si>
    <t>String</t>
  </si>
  <si>
    <t>Boolean</t>
  </si>
  <si>
    <t>Integer</t>
  </si>
  <si>
    <t>Byte</t>
  </si>
  <si>
    <t>Long</t>
  </si>
  <si>
    <t>SubType</t>
  </si>
  <si>
    <t>Num - Int</t>
  </si>
  <si>
    <t>Collection</t>
  </si>
  <si>
    <t>Unknown</t>
  </si>
  <si>
    <t>Currency</t>
  </si>
  <si>
    <t>Num - Dec</t>
  </si>
  <si>
    <t>Date</t>
  </si>
  <si>
    <t>January 1, 0100</t>
  </si>
  <si>
    <t>Dictionary</t>
  </si>
  <si>
    <t>LongLong</t>
  </si>
  <si>
    <t>Object</t>
  </si>
  <si>
    <t>Obj.</t>
  </si>
  <si>
    <t>N/A</t>
  </si>
  <si>
    <t>Single</t>
  </si>
  <si>
    <t>Num - Fl</t>
  </si>
  <si>
    <t xml:space="preserve">	-3.402823E38 </t>
  </si>
  <si>
    <t>Up to 2E09</t>
  </si>
  <si>
    <t>Varies</t>
  </si>
  <si>
    <t>Variant</t>
  </si>
  <si>
    <t>Multiple</t>
  </si>
  <si>
    <t>22 + Str.Len</t>
  </si>
  <si>
    <t>File Name</t>
  </si>
  <si>
    <t>Codename</t>
  </si>
  <si>
    <t>Data Type</t>
  </si>
  <si>
    <t>Rank</t>
  </si>
  <si>
    <t>HeaderRow</t>
  </si>
  <si>
    <t>Name</t>
  </si>
  <si>
    <t>Table Name</t>
  </si>
  <si>
    <t>Cover Page</t>
  </si>
  <si>
    <t>Updated</t>
  </si>
  <si>
    <t>Status</t>
  </si>
  <si>
    <t>Constant</t>
  </si>
  <si>
    <t>Upload Interface</t>
  </si>
  <si>
    <t>Initials</t>
  </si>
  <si>
    <t>Option Explicit</t>
  </si>
  <si>
    <t>'WORKBOOKS</t>
  </si>
  <si>
    <t xml:space="preserve">    Public Const iArrWbFinalIndex As Byte = 0</t>
  </si>
  <si>
    <t>'WORKSHEETS</t>
  </si>
  <si>
    <t>'TABLES</t>
  </si>
  <si>
    <t xml:space="preserve">    Public Const iArrTblFinalIndex As Byte = 6</t>
  </si>
  <si>
    <t>'COLUMNS</t>
  </si>
  <si>
    <t>'CELLS</t>
  </si>
  <si>
    <t>'HEADERS</t>
  </si>
  <si>
    <t>'ROW SCANNERS</t>
  </si>
  <si>
    <t>'CONSTANTS</t>
  </si>
  <si>
    <t>'VARIABLES</t>
  </si>
  <si>
    <t>'ARRAYS</t>
  </si>
  <si>
    <t xml:space="preserve">    Public sArrWorksheets(iArrWsFinalIndex) As String</t>
  </si>
  <si>
    <t xml:space="preserve">    Public SArrTables(iArrTblFinalIndex) As String</t>
  </si>
  <si>
    <t xml:space="preserve">    Public iArrHeaderRows(iArrTblFinalIndex) As Byte</t>
  </si>
  <si>
    <t xml:space="preserve">    Public sArrHeaders(iArrTblFinalIndex) As String</t>
  </si>
  <si>
    <t xml:space="preserve">    Public iArrInitialRows(iArrTblFinalIndex) As Byte</t>
  </si>
  <si>
    <t xml:space="preserve">    Public iArrNumRowScanners(iArrTblFinalIndex) As Byte</t>
  </si>
  <si>
    <t xml:space="preserve">    Public iArrStrRowScanners(iArrTblFinalIndex) As Byte</t>
  </si>
  <si>
    <t xml:space="preserve">    'Workbook Setters</t>
  </si>
  <si>
    <t xml:space="preserve">    'Worksheet Setters</t>
  </si>
  <si>
    <t>End Sub</t>
  </si>
  <si>
    <t xml:space="preserve">    Select Case sDummyTable</t>
  </si>
  <si>
    <t xml:space="preserve">        'Case sWbWsTABLE</t>
  </si>
  <si>
    <t xml:space="preserve">            'Table Setters</t>
  </si>
  <si>
    <t xml:space="preserve">            'Header Setters</t>
  </si>
  <si>
    <t xml:space="preserve">    End Select</t>
  </si>
  <si>
    <t xml:space="preserve">    InitializeAllRowScanners</t>
  </si>
  <si>
    <t xml:space="preserve">    SetTableScanner(Variable)</t>
  </si>
  <si>
    <t xml:space="preserve">    Set oDummyTable = oSelectedWorksheet.ListObjects(sSelectedTable)</t>
  </si>
  <si>
    <t xml:space="preserve">    Set oSortKey = oSelectedWorksheet.Cells(iSelectedHeaderRow, iSelectedColumn)</t>
  </si>
  <si>
    <t xml:space="preserve">    oDummyTable.Sort. _</t>
  </si>
  <si>
    <t xml:space="preserve">        SortFields.Clear</t>
  </si>
  <si>
    <t xml:space="preserve">        SortFields.Add2 Key:=oSortKey, SortOn:=xlSortOnValues, _</t>
  </si>
  <si>
    <t xml:space="preserve">        Order:=xlAscending, DataOption:=xlSortNormal</t>
  </si>
  <si>
    <t xml:space="preserve">    With oDummyTable.Sort</t>
  </si>
  <si>
    <t xml:space="preserve">        .Header = xlYes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</si>
  <si>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</si>
  <si>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</si>
  <si>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</si>
  <si>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End With</t>
  </si>
  <si>
    <t>Sub SetWorkbooksAndWorksheets()</t>
  </si>
  <si>
    <t>Sub SetTableAndHeaders(sDummyTable As String)</t>
  </si>
  <si>
    <t>Sub InitializeAllRowScanners()</t>
  </si>
  <si>
    <t>Sub InitializeAllTableScanners()</t>
  </si>
  <si>
    <t>Cp</t>
  </si>
  <si>
    <t>Ti</t>
  </si>
  <si>
    <t xml:space="preserve">    Select Case sDummyRow</t>
  </si>
  <si>
    <t>Sub SortTable(sDummyWorksheet As String, iDummyColumn As Byte)</t>
  </si>
  <si>
    <t xml:space="preserve">    Select Case sDummyWorksheet</t>
  </si>
  <si>
    <t>Sub InitializeRowScanner(sDummyRow As String)</t>
  </si>
  <si>
    <t>Sub SetNextRow(sDummyRow As String, iStepValue As Integer)</t>
  </si>
  <si>
    <t>Sub ResetTableCells(sDummyRow As String)</t>
  </si>
  <si>
    <t xml:space="preserve">                'Set oWbWsTABLE = oWbWORKSHEET.ListObjects(sWbWsTABLE)</t>
  </si>
  <si>
    <t xml:space="preserve">                'Set oWbWsTblCOLUMNCell = oWbWORKSHEET.Cells(iWbWsTblRowScanner, iWbWsTblCOLUMNColumn)</t>
  </si>
  <si>
    <t xml:space="preserve">        NotSupported(sDummyTable)</t>
  </si>
  <si>
    <t xml:space="preserve">        'Set oWbWsTblCOLUMNCell = oWbWORKSHEET.Cells(iWbWsTblRowScanner, iWbWsTblCOLUMNColumn)</t>
  </si>
  <si>
    <t xml:space="preserve">        'Case sWbWsTblRowScanner: iWbWsTblRowScanner = iWbWsTblRowScanner + iStepValue</t>
  </si>
  <si>
    <t>Sub SetTableScanner(sDummyRow As String)</t>
  </si>
  <si>
    <t xml:space="preserve">        Case Else: MsgBox("SetTableScanner failed to perform properly.")</t>
  </si>
  <si>
    <t xml:space="preserve">        Case Else: MsgBox("InitializeRowScanner failed to perform properly.")</t>
  </si>
  <si>
    <t xml:space="preserve">    If iStepValue &lt; 1 Then iStepValue = 1</t>
  </si>
  <si>
    <t xml:space="preserve">        Case Else: MsgBox("SetNextRow failed to perform properly.")</t>
  </si>
  <si>
    <t xml:space="preserve">        Case Else: MsgBox("SortTable failed to perform properly.")</t>
  </si>
  <si>
    <t xml:space="preserve">        Case Else: MsgBox("ResetTableCells failed to perform properly.")</t>
  </si>
  <si>
    <t>Master Tasklist Compiler</t>
  </si>
  <si>
    <t>Mtc</t>
  </si>
  <si>
    <t>"0.2 - Master Tasklist Compiler"</t>
  </si>
  <si>
    <t>Tasklist Inputs</t>
  </si>
  <si>
    <t>Compiled Lists</t>
  </si>
  <si>
    <t>Cl</t>
  </si>
  <si>
    <t>Sl</t>
  </si>
  <si>
    <t>Variable</t>
  </si>
  <si>
    <t>Tasklist Directory</t>
  </si>
  <si>
    <t>At</t>
  </si>
  <si>
    <t>St</t>
  </si>
  <si>
    <t>It</t>
  </si>
  <si>
    <t>Td</t>
  </si>
  <si>
    <t>Active Tasklist</t>
  </si>
  <si>
    <t>Standby Tasklist</t>
  </si>
  <si>
    <t>Terminated Tasklist</t>
  </si>
  <si>
    <t>Completed Tasklist</t>
  </si>
  <si>
    <t>Tt</t>
  </si>
  <si>
    <t>Ct</t>
  </si>
  <si>
    <t>Directory</t>
  </si>
  <si>
    <t>DirNum</t>
  </si>
  <si>
    <t>DirLvl</t>
  </si>
  <si>
    <t>Section</t>
  </si>
  <si>
    <t>Division</t>
  </si>
  <si>
    <t>Tasklist</t>
  </si>
  <si>
    <t>Task</t>
  </si>
  <si>
    <t>Due Date</t>
  </si>
  <si>
    <t>Importance</t>
  </si>
  <si>
    <t>Urgency</t>
  </si>
  <si>
    <t>Difficulty</t>
  </si>
  <si>
    <t>Directory Number</t>
  </si>
  <si>
    <t>Generation Number</t>
  </si>
  <si>
    <t>Task ID</t>
  </si>
  <si>
    <t>Created</t>
  </si>
  <si>
    <t>Momentum Index</t>
  </si>
  <si>
    <t>Avalanche Index</t>
  </si>
  <si>
    <t>Active</t>
  </si>
  <si>
    <t>Completed</t>
  </si>
  <si>
    <t>Terminated</t>
  </si>
  <si>
    <t>Standby</t>
  </si>
  <si>
    <t>Selected Tasklist</t>
  </si>
  <si>
    <t>Selected Directory</t>
  </si>
  <si>
    <t xml:space="preserve">    Public oMasterTasklistCompiler As Object:     Public Const sMasterTasklistCompiler As String = "Master Tasklist Compiler"</t>
  </si>
  <si>
    <t xml:space="preserve">    Public oMtcCoverPage As Object:     Public Const sMtcCoverPage As String = "Cover Page"</t>
  </si>
  <si>
    <t xml:space="preserve">    Public oMtcTasklistInputs As Object:     Public Const sMtcTasklistInputs As String = "Tasklist Inputs"</t>
  </si>
  <si>
    <t xml:space="preserve">    Public oMtcCompiledLists As Object:     Public Const sMtcCompiledLists As String = "Compiled Lists"</t>
  </si>
  <si>
    <t xml:space="preserve">    Public oMtcSelectedDirectory As Object</t>
  </si>
  <si>
    <t xml:space="preserve">    Public Const iArrWsFinalIndex As Byte = 3</t>
  </si>
  <si>
    <t xml:space="preserve">    Public oMtcCpTasklistDirectory As Object:     Public Const sMtcCpTasklistDirectory As String = "Tasklist Directory"</t>
  </si>
  <si>
    <t xml:space="preserve">    Public oMtcClActiveTasklist As Object:     Public Const sMtcClActiveTasklist As String = "Active Tasklist"</t>
  </si>
  <si>
    <t xml:space="preserve">    Public oMtcSlSelectedTasklist As Object</t>
  </si>
  <si>
    <t xml:space="preserve">    Public oMtcClStandbyTasklist As Object:     Public Const sMtcClStandbyTasklist As String = "Standby Tasklist"</t>
  </si>
  <si>
    <t xml:space="preserve">    Public oMtcClTerminatedTasklist As Object:     Public Const sMtcClTerminatedTasklist As String = "Terminated Tasklist"</t>
  </si>
  <si>
    <t xml:space="preserve">    Public oMtcClCompletedTasklist As Object:     Public Const sMtcClCompletedTasklist As String = "Completed Tasklist"</t>
  </si>
  <si>
    <t>'Tasklist Directory, Table 1 from Cover Page Worksheet</t>
  </si>
  <si>
    <t xml:space="preserve">    Public Const iMtcCpTdDivisionColumn As Byte = 1</t>
  </si>
  <si>
    <t xml:space="preserve">    Public Const iMtcCpTdDirNumColumn As Byte = iMtcCpTdDivisionColumn + 1</t>
  </si>
  <si>
    <t xml:space="preserve">    Public Const iMtcCpTdDirLvlColumn As Byte = iMtcCpTdDirNumColumn + 1</t>
  </si>
  <si>
    <t xml:space="preserve">    Public Const iMtcCpTdSectionColumn As Byte = iMtcCpTdDirLvlColumn + 1</t>
  </si>
  <si>
    <t xml:space="preserve">    Public Const iMtcCpTdDirectoryColumn As Byte = iMtcCpTdSectionColumn + 1</t>
  </si>
  <si>
    <t xml:space="preserve">    Public Const iMtcCpTdTasklistColumn As Byte = iMtcCpTdDirectoryColumn + 1</t>
  </si>
  <si>
    <t xml:space="preserve">    Public Const iMtcCpTdTableColumn As Byte = iMtcCpTdTasklistColumn + 1</t>
  </si>
  <si>
    <t xml:space="preserve">    Public Const iMtcCpTdTableLength As Byte = iMtcCpTdTableColumn - iMtcCpTdDivisionColumn + 1</t>
  </si>
  <si>
    <t>'Active Tasklist, Table 1 from Compiled Lists Worksheet</t>
  </si>
  <si>
    <t xml:space="preserve">    Public Const iMtcClAtDirectoryNumberColumn As Byte = 1</t>
  </si>
  <si>
    <t xml:space="preserve">    Public Const iMtcClAtGenerationNumberColumn As Byte = iMtcClAtDirectoryNumberColumn + 1</t>
  </si>
  <si>
    <t xml:space="preserve">    Public Const iMtcClAtTaskIDColumn As Byte = iMtcClAtGenerationNumberColumn + 1</t>
  </si>
  <si>
    <t xml:space="preserve">    Public Const iMtcClAtTaskColumn As Byte = iMtcClAtTaskIDColumn + 1</t>
  </si>
  <si>
    <t xml:space="preserve">    Public Const iMtcClAtCreatedColumn As Byte = iMtcClAtTaskColumn + 1</t>
  </si>
  <si>
    <t xml:space="preserve">    Public Const iMtcClAtDueDateColumn As Byte = iMtcClAtCreatedColumn + 1</t>
  </si>
  <si>
    <t xml:space="preserve">    Public Const iMtcClAtImportanceColumn As Byte = iMtcClAtDueDateColumn + 1</t>
  </si>
  <si>
    <t xml:space="preserve">    Public Const iMtcClAtDifficultyColumn As Byte = iMtcClAtImportanceColumn + 1</t>
  </si>
  <si>
    <t xml:space="preserve">    Public Const iMtcClAtUrgencyColumn As Byte = iMtcClAtDifficultyColumn + 1</t>
  </si>
  <si>
    <t xml:space="preserve">    Public Const iMtcClAtMomentumIndexColumn As Byte = iMtcClAtUrgencyColumn + 1</t>
  </si>
  <si>
    <t xml:space="preserve">    Public Const iMtcClAtAvalancheIndexColumn As Byte = iMtcClAtMomentumIndexColumn + 1</t>
  </si>
  <si>
    <t xml:space="preserve">    Public Const iMtcClAtStatusColumn As Byte = iMtcClAtAvalancheIndexColumn + 1</t>
  </si>
  <si>
    <t xml:space="preserve">    Public Const iMtcClAtUpdatedColumn As Byte = iMtcClAtStatusColumn + 1</t>
  </si>
  <si>
    <t xml:space="preserve">    Public Const iMtcClAtTableLength As Byte = iMtcClAtUpdatedColumn - iMtcClAtDirectoryNumberColumn + 1</t>
  </si>
  <si>
    <t>'Selected Tasklist, Table 1 from Selected Directory Worksheet</t>
  </si>
  <si>
    <t xml:space="preserve">    Public Const iMtcSlStTableLength As Byte = iMtcSlStUpdatedColumn - iMtcSlStDirectoryNumberColumn + 1</t>
  </si>
  <si>
    <t>'Standby Tasklist, Table 2 from Compiled Lists Worksheet</t>
  </si>
  <si>
    <t xml:space="preserve">    Public Const iMtcClStDirectoryNumberColumn As Byte = iMtcSlStUpdatedColumn + TableSkipFactor</t>
  </si>
  <si>
    <t xml:space="preserve">    Public Const iMtcClStGenerationNumberColumn As Byte = iMtcClStDirectoryNumberColumn + 1</t>
  </si>
  <si>
    <t xml:space="preserve">    Public Const iMtcClStTaskIDColumn As Byte = iMtcClStGenerationNumberColumn + 1</t>
  </si>
  <si>
    <t xml:space="preserve">    Public Const iMtcClStTaskColumn As Byte = iMtcClStTaskIDColumn + 1</t>
  </si>
  <si>
    <t xml:space="preserve">    Public Const iMtcClStCreatedColumn As Byte = iMtcClStTaskColumn + 1</t>
  </si>
  <si>
    <t xml:space="preserve">    Public Const iMtcClStDueDateColumn As Byte = iMtcClStCreatedColumn + 1</t>
  </si>
  <si>
    <t xml:space="preserve">    Public Const iMtcClStImportanceColumn As Byte = iMtcClStDueDateColumn + 1</t>
  </si>
  <si>
    <t xml:space="preserve">    Public Const iMtcClStDifficultyColumn As Byte = iMtcClStImportanceColumn + 1</t>
  </si>
  <si>
    <t xml:space="preserve">    Public Const iMtcClStUrgencyColumn As Byte = iMtcClStDifficultyColumn + 1</t>
  </si>
  <si>
    <t xml:space="preserve">    Public Const iMtcClStMomentumIndexColumn As Byte = iMtcClStUrgencyColumn + 1</t>
  </si>
  <si>
    <t xml:space="preserve">    Public Const iMtcClStAvalancheIndexColumn As Byte = iMtcClStMomentumIndexColumn + 1</t>
  </si>
  <si>
    <t xml:space="preserve">    Public Const iMtcClStStatusColumn As Byte = iMtcClStAvalancheIndexColumn + 1</t>
  </si>
  <si>
    <t xml:space="preserve">    Public Const iMtcClStUpdatedColumn As Byte = iMtcClStStatusColumn + 1</t>
  </si>
  <si>
    <t xml:space="preserve">    Public Const iMtcClStTableLength As Byte = iMtcClStUpdatedColumn - iMtcClStDirectoryNumberColumn + 1</t>
  </si>
  <si>
    <t>'Terminated Tasklist, Table 3 from Compiled Lists Worksheet</t>
  </si>
  <si>
    <t xml:space="preserve">    Public Const iMtcClTtDirectoryNumberColumn As Byte = iMtcClStUpdatedColumn + TableSkipFactor</t>
  </si>
  <si>
    <t xml:space="preserve">    Public Const iMtcClTtGenerationNumberColumn As Byte = iMtcClTtDirectoryNumberColumn + 1</t>
  </si>
  <si>
    <t xml:space="preserve">    Public Const iMtcClTtTaskIDColumn As Byte = iMtcClTtGenerationNumberColumn + 1</t>
  </si>
  <si>
    <t xml:space="preserve">    Public Const iMtcClTtTaskColumn As Byte = iMtcClTtTaskIDColumn + 1</t>
  </si>
  <si>
    <t xml:space="preserve">    Public Const iMtcClTtCreatedColumn As Byte = iMtcClTtTaskColumn + 1</t>
  </si>
  <si>
    <t xml:space="preserve">    Public Const iMtcClTtDueDateColumn As Byte = iMtcClTtCreatedColumn + 1</t>
  </si>
  <si>
    <t xml:space="preserve">    Public Const iMtcClTtImportanceColumn As Byte = iMtcClTtDueDateColumn + 1</t>
  </si>
  <si>
    <t xml:space="preserve">    Public Const iMtcClTtDifficultyColumn As Byte = iMtcClTtImportanceColumn + 1</t>
  </si>
  <si>
    <t xml:space="preserve">    Public Const iMtcClTtUrgencyColumn As Byte = iMtcClTtDifficultyColumn + 1</t>
  </si>
  <si>
    <t xml:space="preserve">    Public Const iMtcClTtMomentumIndexColumn As Byte = iMtcClTtUrgencyColumn + 1</t>
  </si>
  <si>
    <t xml:space="preserve">    Public Const iMtcClTtAvalancheIndexColumn As Byte = iMtcClTtMomentumIndexColumn + 1</t>
  </si>
  <si>
    <t xml:space="preserve">    Public Const iMtcClTtStatusColumn As Byte = iMtcClTtAvalancheIndexColumn + 1</t>
  </si>
  <si>
    <t xml:space="preserve">    Public Const iMtcClTtUpdatedColumn As Byte = iMtcClTtStatusColumn + 1</t>
  </si>
  <si>
    <t xml:space="preserve">    Public Const iMtcClTtTableLength As Byte = iMtcClTtUpdatedColumn - iMtcClTtDirectoryNumberColumn + 1</t>
  </si>
  <si>
    <t>'Completed Tasklist, Table 4 from Compiled Lists Worksheet</t>
  </si>
  <si>
    <t xml:space="preserve">    Public Const iMtcClCtDirectoryNumberColumn As Byte = iMtcClTtUpdatedColumn + TableSkipFactor</t>
  </si>
  <si>
    <t xml:space="preserve">    Public Const iMtcClCtGenerationNumberColumn As Byte = iMtcClCtDirectoryNumberColumn + 1</t>
  </si>
  <si>
    <t xml:space="preserve">    Public Const iMtcClCtTaskIDColumn As Byte = iMtcClCtGenerationNumberColumn + 1</t>
  </si>
  <si>
    <t xml:space="preserve">    Public Const iMtcClCtTaskColumn As Byte = iMtcClCtTaskIDColumn + 1</t>
  </si>
  <si>
    <t xml:space="preserve">    Public Const iMtcClCtCreatedColumn As Byte = iMtcClCtTaskColumn + 1</t>
  </si>
  <si>
    <t xml:space="preserve">    Public Const iMtcClCtDueDateColumn As Byte = iMtcClCtCreatedColumn + 1</t>
  </si>
  <si>
    <t xml:space="preserve">    Public Const iMtcClCtImportanceColumn As Byte = iMtcClCtDueDateColumn + 1</t>
  </si>
  <si>
    <t xml:space="preserve">    Public Const iMtcClCtDifficultyColumn As Byte = iMtcClCtImportanceColumn + 1</t>
  </si>
  <si>
    <t xml:space="preserve">    Public Const iMtcClCtUrgencyColumn As Byte = iMtcClCtDifficultyColumn + 1</t>
  </si>
  <si>
    <t xml:space="preserve">    Public Const iMtcClCtMomentumIndexColumn As Byte = iMtcClCtUrgencyColumn + 1</t>
  </si>
  <si>
    <t xml:space="preserve">    Public Const iMtcClCtAvalancheIndexColumn As Byte = iMtcClCtMomentumIndexColumn + 1</t>
  </si>
  <si>
    <t xml:space="preserve">    Public Const iMtcClCtStatusColumn As Byte = iMtcClCtAvalancheIndexColumn + 1</t>
  </si>
  <si>
    <t xml:space="preserve">    Public Const iMtcClCtUpdatedColumn As Byte = iMtcClCtStatusColumn + 1</t>
  </si>
  <si>
    <t xml:space="preserve">    Public Const iMtcClCtTableLength As Byte = iMtcClCtUpdatedColumn - iMtcClCtDirectoryNumberColumn + 1</t>
  </si>
  <si>
    <t xml:space="preserve">    Public oMtcCpTdDivisionCell As Object</t>
  </si>
  <si>
    <t xml:space="preserve">    Public oMtcCpTdDirNumCell As Object</t>
  </si>
  <si>
    <t xml:space="preserve">    Public oMtcCpTdDirLvlCell As Object</t>
  </si>
  <si>
    <t xml:space="preserve">    Public oMtcCpTdSectionCell As Object</t>
  </si>
  <si>
    <t xml:space="preserve">    Public oMtcCpTdDirectoryCell As Object</t>
  </si>
  <si>
    <t xml:space="preserve">    Public oMtcCpTdTasklistCell As Object</t>
  </si>
  <si>
    <t xml:space="preserve">    Public oMtcCpTdTableCell As Object</t>
  </si>
  <si>
    <t xml:space="preserve">    Public oMtcClAtDirectoryNumberCell As Object</t>
  </si>
  <si>
    <t xml:space="preserve">    Public oMtcClAtGenerationNumberCell As Object</t>
  </si>
  <si>
    <t xml:space="preserve">    Public oMtcClAtTaskIDCell As Object</t>
  </si>
  <si>
    <t xml:space="preserve">    Public oMtcClAtTaskCell As Object</t>
  </si>
  <si>
    <t xml:space="preserve">    Public oMtcClAtCreatedCell As Object</t>
  </si>
  <si>
    <t xml:space="preserve">    Public oMtcClAtDueDateCell As Object</t>
  </si>
  <si>
    <t xml:space="preserve">    Public oMtcClAtImportanceCell As Object</t>
  </si>
  <si>
    <t xml:space="preserve">    Public oMtcClAtDifficultyCell As Object</t>
  </si>
  <si>
    <t xml:space="preserve">    Public oMtcClAtUrgencyCell As Object</t>
  </si>
  <si>
    <t xml:space="preserve">    Public oMtcClAtMomentumIndexCell As Object</t>
  </si>
  <si>
    <t xml:space="preserve">    Public oMtcClAtAvalancheIndexCell As Object</t>
  </si>
  <si>
    <t xml:space="preserve">    Public oMtcClAtStatusCell As Object</t>
  </si>
  <si>
    <t xml:space="preserve">    Public oMtcClAtUpdatedCell As Object</t>
  </si>
  <si>
    <t xml:space="preserve">    Public oMtcSlStDirectoryNumberCell As Object</t>
  </si>
  <si>
    <t xml:space="preserve">    Public oMtcSlStGenerationNumberCell As Object</t>
  </si>
  <si>
    <t xml:space="preserve">    Public oMtcSlStTaskIDCell As Object</t>
  </si>
  <si>
    <t xml:space="preserve">    Public oMtcSlStTaskCell As Object</t>
  </si>
  <si>
    <t xml:space="preserve">    Public oMtcSlStCreatedCell As Object</t>
  </si>
  <si>
    <t xml:space="preserve">    Public oMtcSlStDueDateCell As Object</t>
  </si>
  <si>
    <t xml:space="preserve">    Public oMtcSlStImportanceCell As Object</t>
  </si>
  <si>
    <t xml:space="preserve">    Public oMtcSlStUrgencyCell As Object</t>
  </si>
  <si>
    <t xml:space="preserve">    Public oMtcSlStDifficultyCell As Object</t>
  </si>
  <si>
    <t xml:space="preserve">    Public oMtcSlStMomentumIndexCell As Object</t>
  </si>
  <si>
    <t xml:space="preserve">    Public oMtcSlStAvalancheIndexCell As Object</t>
  </si>
  <si>
    <t xml:space="preserve">    Public oMtcSlStStatusCell As Object</t>
  </si>
  <si>
    <t xml:space="preserve">    Public oMtcSlStUpdatedCell As Object</t>
  </si>
  <si>
    <t xml:space="preserve">    Public oMtcClStDirectoryNumberCell As Object</t>
  </si>
  <si>
    <t xml:space="preserve">    Public oMtcClStGenerationNumberCell As Object</t>
  </si>
  <si>
    <t xml:space="preserve">    Public oMtcClStTaskIDCell As Object</t>
  </si>
  <si>
    <t xml:space="preserve">    Public oMtcClStTaskCell As Object</t>
  </si>
  <si>
    <t xml:space="preserve">    Public oMtcClStCreatedCell As Object</t>
  </si>
  <si>
    <t xml:space="preserve">    Public oMtcClStDueDateCell As Object</t>
  </si>
  <si>
    <t xml:space="preserve">    Public oMtcClStImportanceCell As Object</t>
  </si>
  <si>
    <t xml:space="preserve">    Public oMtcClStDifficultyCell As Object</t>
  </si>
  <si>
    <t xml:space="preserve">    Public oMtcClStUrgencyCell As Object</t>
  </si>
  <si>
    <t xml:space="preserve">    Public oMtcClStMomentumIndexCell As Object</t>
  </si>
  <si>
    <t xml:space="preserve">    Public oMtcClStAvalancheIndexCell As Object</t>
  </si>
  <si>
    <t xml:space="preserve">    Public oMtcClStStatusCell As Object</t>
  </si>
  <si>
    <t xml:space="preserve">    Public oMtcClStUpdatedCell As Object</t>
  </si>
  <si>
    <t xml:space="preserve">    Public oMtcClTtDirectoryNumberCell As Object</t>
  </si>
  <si>
    <t xml:space="preserve">    Public oMtcClTtGenerationNumberCell As Object</t>
  </si>
  <si>
    <t xml:space="preserve">    Public oMtcClTtTaskIDCell As Object</t>
  </si>
  <si>
    <t xml:space="preserve">    Public oMtcClTtTaskCell As Object</t>
  </si>
  <si>
    <t xml:space="preserve">    Public oMtcClTtCreatedCell As Object</t>
  </si>
  <si>
    <t xml:space="preserve">    Public oMtcClTtDueDateCell As Object</t>
  </si>
  <si>
    <t xml:space="preserve">    Public oMtcClTtImportanceCell As Object</t>
  </si>
  <si>
    <t xml:space="preserve">    Public oMtcClTtDifficultyCell As Object</t>
  </si>
  <si>
    <t xml:space="preserve">    Public oMtcClTtUrgencyCell As Object</t>
  </si>
  <si>
    <t xml:space="preserve">    Public oMtcClTtMomentumIndexCell As Object</t>
  </si>
  <si>
    <t xml:space="preserve">    Public oMtcClTtAvalancheIndexCell As Object</t>
  </si>
  <si>
    <t xml:space="preserve">    Public oMtcClTtStatusCell As Object</t>
  </si>
  <si>
    <t xml:space="preserve">    Public oMtcClTtUpdatedCell As Object</t>
  </si>
  <si>
    <t xml:space="preserve">    Public oMtcClCtDirectoryNumberCell As Object</t>
  </si>
  <si>
    <t xml:space="preserve">    Public oMtcClCtGenerationNumberCell As Object</t>
  </si>
  <si>
    <t xml:space="preserve">    Public oMtcClCtTaskIDCell As Object</t>
  </si>
  <si>
    <t xml:space="preserve">    Public oMtcClCtTaskCell As Object</t>
  </si>
  <si>
    <t xml:space="preserve">    Public oMtcClCtCreatedCell As Object</t>
  </si>
  <si>
    <t xml:space="preserve">    Public oMtcClCtDueDateCell As Object</t>
  </si>
  <si>
    <t xml:space="preserve">    Public oMtcClCtImportanceCell As Object</t>
  </si>
  <si>
    <t xml:space="preserve">    Public oMtcClCtDifficultyCell As Object</t>
  </si>
  <si>
    <t xml:space="preserve">    Public oMtcClCtUrgencyCell As Object</t>
  </si>
  <si>
    <t xml:space="preserve">    Public oMtcClCtMomentumIndexCell As Object</t>
  </si>
  <si>
    <t xml:space="preserve">    Public oMtcClCtAvalancheIndexCell As Object</t>
  </si>
  <si>
    <t xml:space="preserve">    Public oMtcClCtStatusCell As Object</t>
  </si>
  <si>
    <t xml:space="preserve">    Public oMtcClCtUpdatedCell As Object</t>
  </si>
  <si>
    <t xml:space="preserve">    Public oMtcCpTdDivisionHeader As Object:     Public Const sMtcCpTdDivisionHeader As String = "Division"</t>
  </si>
  <si>
    <t xml:space="preserve">    Public oMtcCpTdDirNumHeader As Object:     Public Const sMtcCpTdDirNumHeader As String = "DirNum"</t>
  </si>
  <si>
    <t xml:space="preserve">    Public oMtcCpTdDirLvlHeader As Object:     Public Const sMtcCpTdDirLvlHeader As String = "DirLvl"</t>
  </si>
  <si>
    <t xml:space="preserve">    Public oMtcCpTdSectionHeader As Object:     Public Const sMtcCpTdSectionHeader As String = "Section"</t>
  </si>
  <si>
    <t xml:space="preserve">    Public oMtcCpTdDirectoryHeader As Object:     Public Const sMtcCpTdDirectoryHeader As String = "Directory"</t>
  </si>
  <si>
    <t xml:space="preserve">    Public oMtcCpTdTasklistHeader As Object:     Public Const sMtcCpTdTasklistHeader As String = "Tasklist"</t>
  </si>
  <si>
    <t xml:space="preserve">    Public oMtcCpTdTableHeader As Object:     Public Const sMtcCpTdTableHeader As String = "Table"</t>
  </si>
  <si>
    <t xml:space="preserve">    Public oMtcClAtDirectoryNumberHeader As Object:     Public Const sMtcClAtDirectoryNumberHeader As String = "Directory Number"</t>
  </si>
  <si>
    <t xml:space="preserve">    Public oMtcClAtGenerationNumberHeader As Object:     Public Const sMtcClAtGenerationNumberHeader As String = "Generation Number"</t>
  </si>
  <si>
    <t xml:space="preserve">    Public oMtcClAtTaskIDHeader As Object:     Public Const sMtcClAtTaskIDHeader As String = "Task ID"</t>
  </si>
  <si>
    <t xml:space="preserve">    Public oMtcClAtTaskHeader As Object:     Public Const sMtcClAtTaskHeader As String = "Task"</t>
  </si>
  <si>
    <t xml:space="preserve">    Public oMtcClAtCreatedHeader As Object:     Public Const sMtcClAtCreatedHeader As String = "Created"</t>
  </si>
  <si>
    <t xml:space="preserve">    Public oMtcClAtDueDateHeader As Object:     Public Const sMtcClAtDueDateHeader As String = "Due Date"</t>
  </si>
  <si>
    <t xml:space="preserve">    Public oMtcClAtImportanceHeader As Object:     Public Const sMtcClAtImportanceHeader As String = "Importance"</t>
  </si>
  <si>
    <t xml:space="preserve">    Public oMtcClAtDifficultyHeader As Object:     Public Const sMtcClAtDifficultyHeader As String = "Difficulty"</t>
  </si>
  <si>
    <t xml:space="preserve">    Public oMtcClAtUrgencyHeader As Object:     Public Const sMtcClAtUrgencyHeader As String = "Urgency"</t>
  </si>
  <si>
    <t xml:space="preserve">    Public oMtcClAtMomentumIndexHeader As Object:     Public Const sMtcClAtMomentumIndexHeader As String = "Momentum Index"</t>
  </si>
  <si>
    <t xml:space="preserve">    Public oMtcClAtAvalancheIndexHeader As Object:     Public Const sMtcClAtAvalancheIndexHeader As String = "Avalanche Index"</t>
  </si>
  <si>
    <t xml:space="preserve">    Public oMtcClAtStatusHeader As Object:     Public Const sMtcClAtStatusHeader As String = "Status"</t>
  </si>
  <si>
    <t xml:space="preserve">    Public oMtcClAtUpdatedHeader As Object:     Public Const sMtcClAtUpdatedHeader As String = "Updated"</t>
  </si>
  <si>
    <t xml:space="preserve">    Public oMtcSlStDirectoryNumberHeader As Object</t>
  </si>
  <si>
    <t xml:space="preserve">    Public oMtcSlStGenerationNumberHeader As Object</t>
  </si>
  <si>
    <t xml:space="preserve">    Public oMtcSlStTaskIDHeader As Object</t>
  </si>
  <si>
    <t xml:space="preserve">    Public oMtcSlStTaskHeader As Object</t>
  </si>
  <si>
    <t xml:space="preserve">    Public oMtcSlStCreatedHeader As Object</t>
  </si>
  <si>
    <t xml:space="preserve">    Public oMtcSlStDueDateHeader As Object</t>
  </si>
  <si>
    <t xml:space="preserve">    Public oMtcSlStImportanceHeader As Object</t>
  </si>
  <si>
    <t xml:space="preserve">    Public oMtcSlStUrgencyHeader As Object</t>
  </si>
  <si>
    <t xml:space="preserve">    Public oMtcSlStDifficultyHeader As Object</t>
  </si>
  <si>
    <t xml:space="preserve">    Public oMtcSlStMomentumIndexHeader As Object</t>
  </si>
  <si>
    <t xml:space="preserve">    Public oMtcSlStAvalancheIndexHeader As Object</t>
  </si>
  <si>
    <t xml:space="preserve">    Public oMtcSlStStatusHeader As Object</t>
  </si>
  <si>
    <t xml:space="preserve">    Public oMtcSlStUpdatedHeader As Object</t>
  </si>
  <si>
    <t xml:space="preserve">    Public oMtcClStDirectoryNumberHeader As Object:     Public Const sMtcClStDirectoryNumberHeader As String = "Directory Number"</t>
  </si>
  <si>
    <t xml:space="preserve">    Public oMtcClStGenerationNumberHeader As Object:     Public Const sMtcClStGenerationNumberHeader As String = "Generation Number"</t>
  </si>
  <si>
    <t xml:space="preserve">    Public oMtcClStTaskIDHeader As Object:     Public Const sMtcClStTaskIDHeader As String = "Task ID"</t>
  </si>
  <si>
    <t xml:space="preserve">    Public oMtcClStTaskHeader As Object:     Public Const sMtcClStTaskHeader As String = "Task"</t>
  </si>
  <si>
    <t xml:space="preserve">    Public oMtcClStCreatedHeader As Object:     Public Const sMtcClStCreatedHeader As String = "Created"</t>
  </si>
  <si>
    <t xml:space="preserve">    Public oMtcClStDueDateHeader As Object:     Public Const sMtcClStDueDateHeader As String = "Due Date"</t>
  </si>
  <si>
    <t xml:space="preserve">    Public oMtcClStImportanceHeader As Object:     Public Const sMtcClStImportanceHeader As String = "Importance"</t>
  </si>
  <si>
    <t xml:space="preserve">    Public oMtcClStDifficultyHeader As Object:     Public Const sMtcClStDifficultyHeader As String = "Difficulty"</t>
  </si>
  <si>
    <t xml:space="preserve">    Public oMtcClStUrgencyHeader As Object:     Public Const sMtcClStUrgencyHeader As String = "Urgency"</t>
  </si>
  <si>
    <t xml:space="preserve">    Public oMtcClStMomentumIndexHeader As Object:     Public Const sMtcClStMomentumIndexHeader As String = "Momentum Index"</t>
  </si>
  <si>
    <t xml:space="preserve">    Public oMtcClStAvalancheIndexHeader As Object:     Public Const sMtcClStAvalancheIndexHeader As String = "Avalanche Index"</t>
  </si>
  <si>
    <t xml:space="preserve">    Public oMtcClStStatusHeader As Object:     Public Const sMtcClStStatusHeader As String = "Status"</t>
  </si>
  <si>
    <t xml:space="preserve">    Public oMtcClStUpdatedHeader As Object:     Public Const sMtcClStUpdatedHeader As String = "Updated"</t>
  </si>
  <si>
    <t xml:space="preserve">    Public oMtcClTtDirectoryNumberHeader As Object:     Public Const sMtcClTtDirectoryNumberHeader As String = "Directory Number"</t>
  </si>
  <si>
    <t xml:space="preserve">    Public oMtcClTtGenerationNumberHeader As Object:     Public Const sMtcClTtGenerationNumberHeader As String = "Generation Number"</t>
  </si>
  <si>
    <t xml:space="preserve">    Public oMtcClTtTaskIDHeader As Object:     Public Const sMtcClTtTaskIDHeader As String = "Task ID"</t>
  </si>
  <si>
    <t xml:space="preserve">    Public oMtcClTtTaskHeader As Object:     Public Const sMtcClTtTaskHeader As String = "Task"</t>
  </si>
  <si>
    <t xml:space="preserve">    Public oMtcClTtCreatedHeader As Object:     Public Const sMtcClTtCreatedHeader As String = "Created"</t>
  </si>
  <si>
    <t xml:space="preserve">    Public oMtcClTtDueDateHeader As Object:     Public Const sMtcClTtDueDateHeader As String = "Due Date"</t>
  </si>
  <si>
    <t xml:space="preserve">    Public oMtcClTtImportanceHeader As Object:     Public Const sMtcClTtImportanceHeader As String = "Importance"</t>
  </si>
  <si>
    <t xml:space="preserve">    Public oMtcClTtDifficultyHeader As Object:     Public Const sMtcClTtDifficultyHeader As String = "Difficulty"</t>
  </si>
  <si>
    <t xml:space="preserve">    Public oMtcClTtUrgencyHeader As Object:     Public Const sMtcClTtUrgencyHeader As String = "Urgency"</t>
  </si>
  <si>
    <t xml:space="preserve">    Public oMtcClTtMomentumIndexHeader As Object:     Public Const sMtcClTtMomentumIndexHeader As String = "Momentum Index"</t>
  </si>
  <si>
    <t xml:space="preserve">    Public oMtcClTtAvalancheIndexHeader As Object:     Public Const sMtcClTtAvalancheIndexHeader As String = "Avalanche Index"</t>
  </si>
  <si>
    <t xml:space="preserve">    Public oMtcClTtStatusHeader As Object:     Public Const sMtcClTtStatusHeader As String = "Status"</t>
  </si>
  <si>
    <t xml:space="preserve">    Public oMtcClTtUpdatedHeader As Object:     Public Const sMtcClTtUpdatedHeader As String = "Updated"</t>
  </si>
  <si>
    <t xml:space="preserve">    Public oMtcClCtDirectoryNumberHeader As Object:     Public Const sMtcClCtDirectoryNumberHeader As String = "Directory Number"</t>
  </si>
  <si>
    <t xml:space="preserve">    Public oMtcClCtGenerationNumberHeader As Object:     Public Const sMtcClCtGenerationNumberHeader As String = "Generation Number"</t>
  </si>
  <si>
    <t xml:space="preserve">    Public oMtcClCtTaskIDHeader As Object:     Public Const sMtcClCtTaskIDHeader As String = "Task ID"</t>
  </si>
  <si>
    <t xml:space="preserve">    Public oMtcClCtTaskHeader As Object:     Public Const sMtcClCtTaskHeader As String = "Task"</t>
  </si>
  <si>
    <t xml:space="preserve">    Public oMtcClCtCreatedHeader As Object:     Public Const sMtcClCtCreatedHeader As String = "Created"</t>
  </si>
  <si>
    <t xml:space="preserve">    Public oMtcClCtDueDateHeader As Object:     Public Const sMtcClCtDueDateHeader As String = "Due Date"</t>
  </si>
  <si>
    <t xml:space="preserve">    Public oMtcClCtImportanceHeader As Object:     Public Const sMtcClCtImportanceHeader As String = "Importance"</t>
  </si>
  <si>
    <t xml:space="preserve">    Public oMtcClCtDifficultyHeader As Object:     Public Const sMtcClCtDifficultyHeader As String = "Difficulty"</t>
  </si>
  <si>
    <t xml:space="preserve">    Public oMtcClCtUrgencyHeader As Object:     Public Const sMtcClCtUrgencyHeader As String = "Urgency"</t>
  </si>
  <si>
    <t xml:space="preserve">    Public oMtcClCtMomentumIndexHeader As Object:     Public Const sMtcClCtMomentumIndexHeader As String = "Momentum Index"</t>
  </si>
  <si>
    <t xml:space="preserve">    Public oMtcClCtAvalancheIndexHeader As Object:     Public Const sMtcClCtAvalancheIndexHeader As String = "Avalanche Index"</t>
  </si>
  <si>
    <t xml:space="preserve">    Public oMtcClCtStatusHeader As Object:     Public Const sMtcClCtStatusHeader As String = "Status"</t>
  </si>
  <si>
    <t xml:space="preserve">    Public oMtcClCtUpdatedHeader As Object:     Public Const sMtcClCtUpdatedHeader As String = "Updated"</t>
  </si>
  <si>
    <t xml:space="preserve">    Public Const iMtcCpTdHeaderRow As Byte = 1</t>
  </si>
  <si>
    <t xml:space="preserve">    Public Const iMtcCpTdInitialRow As Byte = iMtcCpTdHeaderRow + 1</t>
  </si>
  <si>
    <t xml:space="preserve">    Public iMtcCpTdRowScanner As Integer:     Public Const sMtcCpTdRowScanner As String = "sMtcCpTdRowScanner"</t>
  </si>
  <si>
    <t xml:space="preserve">    Public Const iMtcTiItHeaderRow As Byte = 1</t>
  </si>
  <si>
    <t xml:space="preserve">    Public Const iMtcTiItInitialRow As Byte = iMtcTiItHeaderRow + 1</t>
  </si>
  <si>
    <t xml:space="preserve">    Public iMtcTiItRowScanner As Integer:     Public Const sMtcTiItRowScanner As String = "sMtcTiItRowScanner"</t>
  </si>
  <si>
    <t xml:space="preserve">    Public Const iMtcClAtHeaderRow As Byte = 1</t>
  </si>
  <si>
    <t xml:space="preserve">    Public Const iMtcClAtInitialRow As Byte = iMtcClAtHeaderRow + 1</t>
  </si>
  <si>
    <t xml:space="preserve">    Public iMtcClAtRowScanner As Integer:     Public Const sMtcClAtRowScanner As String = "sMtcClAtRowScanner"</t>
  </si>
  <si>
    <t xml:space="preserve">    Public Const iMtcSlStHeaderRow As Byte = 1</t>
  </si>
  <si>
    <t xml:space="preserve">    Public Const iMtcSlStInitialRow As Byte = iMtcSlStHeaderRow + 1</t>
  </si>
  <si>
    <t xml:space="preserve">    Public iMtcSlStRowScanner As Integer</t>
  </si>
  <si>
    <t xml:space="preserve">    Public Const iMtcClStHeaderRow As Byte = 1</t>
  </si>
  <si>
    <t xml:space="preserve">    Public Const iMtcClStInitialRow As Byte = iMtcClStHeaderRow + 1</t>
  </si>
  <si>
    <t xml:space="preserve">    Public iMtcClStRowScanner As Integer:     Public Const sMtcClStRowScanner As String = "sMtcClStRowScanner"</t>
  </si>
  <si>
    <t xml:space="preserve">    Public Const iMtcClTtHeaderRow As Byte = 1</t>
  </si>
  <si>
    <t xml:space="preserve">    Public Const iMtcClTtInitialRow As Byte = iMtcClTtHeaderRow + 1</t>
  </si>
  <si>
    <t xml:space="preserve">    Public iMtcClTtRowScanner As Integer:     Public Const sMtcClTtRowScanner As String = "sMtcClTtRowScanner"</t>
  </si>
  <si>
    <t xml:space="preserve">    Public Const iMtcClCtHeaderRow As Byte = 1</t>
  </si>
  <si>
    <t xml:space="preserve">    Public Const iMtcClCtInitialRow As Byte = iMtcClCtHeaderRow + 1</t>
  </si>
  <si>
    <t xml:space="preserve">    Public iMtcClCtRowScanner As Integer:     Public Const sMtcClCtRowScanner As String = "sMtcClCtRowScanner"</t>
  </si>
  <si>
    <t xml:space="preserve">        Set oMasterTasklistCompiler = ThisWorkbook</t>
  </si>
  <si>
    <t xml:space="preserve">        Set oMtcCoverPage = oMasterTasklistCompiler.Worksheets(sMtcCoverPage)</t>
  </si>
  <si>
    <t xml:space="preserve">        Set oMtcTasklistInputs = oMasterTasklistCompiler.Worksheets(sMtcTasklistInputs)</t>
  </si>
  <si>
    <t xml:space="preserve">        Set oMtcCompiledLists = oMasterTasklistCompiler.Worksheets(sMtcCompiledLists)</t>
  </si>
  <si>
    <t xml:space="preserve">        Case sMtcCpTasklistDirectory</t>
  </si>
  <si>
    <t xml:space="preserve">                Set oMtcCpTasklistDirectory = oMtcCoverPage.ListObjects(sMtcCpTasklistDirectory)</t>
  </si>
  <si>
    <t xml:space="preserve">                Set oMtcCpTdDivisionHeader = oMtcCoverPage.Cells(iMtcCpTdHeaderRow, iMtcCpTdDivisionColumn):     oMtcCpTdDivisionHeader.Value  = sMtcCpTdDivisionHeader</t>
  </si>
  <si>
    <t xml:space="preserve">                Set oMtcCpTdDirNumHeader = oMtcCoverPage.Cells(iMtcCpTdHeaderRow, iMtcCpTdDirNumColumn):     oMtcCpTdDirNumHeader.Value  = sMtcCpTdDirNumHeader</t>
  </si>
  <si>
    <t xml:space="preserve">                Set oMtcCpTdDirLvlHeader = oMtcCoverPage.Cells(iMtcCpTdHeaderRow, iMtcCpTdDirLvlColumn):     oMtcCpTdDirLvlHeader.Value  = sMtcCpTdDirLvlHeader</t>
  </si>
  <si>
    <t xml:space="preserve">                Set oMtcCpTdSectionHeader = oMtcCoverPage.Cells(iMtcCpTdHeaderRow, iMtcCpTdSectionColumn):     oMtcCpTdSectionHeader.Value  = sMtcCpTdSectionHeader</t>
  </si>
  <si>
    <t xml:space="preserve">                Set oMtcCpTdDirectoryHeader = oMtcCoverPage.Cells(iMtcCpTdHeaderRow, iMtcCpTdDirectoryColumn):     oMtcCpTdDirectoryHeader.Value  = sMtcCpTdDirectoryHeader</t>
  </si>
  <si>
    <t xml:space="preserve">                Set oMtcCpTdTasklistHeader = oMtcCoverPage.Cells(iMtcCpTdHeaderRow, iMtcCpTdTasklistColumn):     oMtcCpTdTasklistHeader.Value  = sMtcCpTdTasklistHeader</t>
  </si>
  <si>
    <t xml:space="preserve">                Set oMtcCpTdTableHeader = oMtcCoverPage.Cells(iMtcCpTdHeaderRow, iMtcCpTdTableColumn):     oMtcCpTdTableHeader.Value  = sMtcCpTdTableHeader</t>
  </si>
  <si>
    <t xml:space="preserve">        Case sMtcTiUploadInterface</t>
  </si>
  <si>
    <t xml:space="preserve">                Set oMtcTiUploadInterface = oMtcTasklistInputs.ListObjects(sMtcTiUploadInterface)</t>
  </si>
  <si>
    <t xml:space="preserve">        Case sMtcClActiveTasklist</t>
  </si>
  <si>
    <t xml:space="preserve">                Set oMtcClActiveTasklist = oMtcCompiledLists.ListObjects(sMtcClActiveTasklist)</t>
  </si>
  <si>
    <t xml:space="preserve">                Set oMtcClAtDirectoryNumberHeader = oMtcCompiledLists.Cells(iMtcClAtHeaderRow, iMtcClAtDirectoryNumberColumn):     oMtcClAtDirectoryNumberHeader.Value  = sMtcClAtDirectoryNumberHeader</t>
  </si>
  <si>
    <t xml:space="preserve">                Set oMtcClAtGenerationNumberHeader = oMtcCompiledLists.Cells(iMtcClAtHeaderRow, iMtcClAtGenerationNumberColumn):     oMtcClAtGenerationNumberHeader.Value  = sMtcClAtGenerationNumberHeader</t>
  </si>
  <si>
    <t xml:space="preserve">                Set oMtcClAtTaskIDHeader = oMtcCompiledLists.Cells(iMtcClAtHeaderRow, iMtcClAtTaskIDColumn):     oMtcClAtTaskIDHeader.Value  = sMtcClAtTaskIDHeader</t>
  </si>
  <si>
    <t xml:space="preserve">                Set oMtcClAtTaskHeader = oMtcCompiledLists.Cells(iMtcClAtHeaderRow, iMtcClAtTaskColumn):     oMtcClAtTaskHeader.Value  = sMtcClAtTaskHeader</t>
  </si>
  <si>
    <t xml:space="preserve">                Set oMtcClAtCreatedHeader = oMtcCompiledLists.Cells(iMtcClAtHeaderRow, iMtcClAtCreatedColumn):     oMtcClAtCreatedHeader.Value  = sMtcClAtCreatedHeader</t>
  </si>
  <si>
    <t xml:space="preserve">                Set oMtcClAtDueDateHeader = oMtcCompiledLists.Cells(iMtcClAtHeaderRow, iMtcClAtDueDateColumn):     oMtcClAtDueDateHeader.Value  = sMtcClAtDueDateHeader</t>
  </si>
  <si>
    <t xml:space="preserve">                Set oMtcClAtImportanceHeader = oMtcCompiledLists.Cells(iMtcClAtHeaderRow, iMtcClAtImportanceColumn):     oMtcClAtImportanceHeader.Value  = sMtcClAtImportanceHeader</t>
  </si>
  <si>
    <t xml:space="preserve">                Set oMtcClAtDifficultyHeader = oMtcCompiledLists.Cells(iMtcClAtHeaderRow, iMtcClAtDifficultyColumn):     oMtcClAtDifficultyHeader.Value  = sMtcClAtDifficultyHeader</t>
  </si>
  <si>
    <t xml:space="preserve">                Set oMtcClAtUrgencyHeader = oMtcCompiledLists.Cells(iMtcClAtHeaderRow, iMtcClAtUrgencyColumn):     oMtcClAtUrgencyHeader.Value  = sMtcClAtUrgencyHeader</t>
  </si>
  <si>
    <t xml:space="preserve">                Set oMtcClAtMomentumIndexHeader = oMtcCompiledLists.Cells(iMtcClAtHeaderRow, iMtcClAtMomentumIndexColumn):     oMtcClAtMomentumIndexHeader.Value  = sMtcClAtMomentumIndexHeader</t>
  </si>
  <si>
    <t xml:space="preserve">                Set oMtcClAtAvalancheIndexHeader = oMtcCompiledLists.Cells(iMtcClAtHeaderRow, iMtcClAtAvalancheIndexColumn):     oMtcClAtAvalancheIndexHeader.Value  = sMtcClAtAvalancheIndexHeader</t>
  </si>
  <si>
    <t xml:space="preserve">                Set oMtcClAtStatusHeader = oMtcCompiledLists.Cells(iMtcClAtHeaderRow, iMtcClAtStatusColumn):     oMtcClAtStatusHeader.Value  = sMtcClAtStatusHeader</t>
  </si>
  <si>
    <t xml:space="preserve">                Set oMtcClAtUpdatedHeader = oMtcCompiledLists.Cells(iMtcClAtHeaderRow, iMtcClAtUpdatedColumn):     oMtcClAtUpdatedHeader.Value  = sMtcClAtUpdatedHeader</t>
  </si>
  <si>
    <t xml:space="preserve">        Case sMtcSlSelectedTasklist</t>
  </si>
  <si>
    <t xml:space="preserve">                Set oMtcSlSelectedTasklist = oMtcSelectedDirectory.ListObjects(sMtcSlSelectedTasklist)</t>
  </si>
  <si>
    <t xml:space="preserve">                Set oMtcSlStDirectoryNumberHeader = oMtcSelectedDirectory.Cells(iMtcSlStHeaderRow, iMtcSlStDirectoryNumberColumn)</t>
  </si>
  <si>
    <t xml:space="preserve">                Set oMtcSlStGenerationNumberHeader = oMtcSelectedDirectory.Cells(iMtcSlStHeaderRow, iMtcSlStGenerationNumberColumn)</t>
  </si>
  <si>
    <t xml:space="preserve">                Set oMtcSlStTaskIDHeader = oMtcSelectedDirectory.Cells(iMtcSlStHeaderRow, iMtcSlStTaskIDColumn)</t>
  </si>
  <si>
    <t xml:space="preserve">                Set oMtcSlStTaskHeader = oMtcSelectedDirectory.Cells(iMtcSlStHeaderRow, iMtcSlStTaskColumn)</t>
  </si>
  <si>
    <t xml:space="preserve">                Set oMtcSlStCreatedHeader = oMtcSelectedDirectory.Cells(iMtcSlStHeaderRow, iMtcSlStCreatedColumn)</t>
  </si>
  <si>
    <t xml:space="preserve">                Set oMtcSlStDueDateHeader = oMtcSelectedDirectory.Cells(iMtcSlStHeaderRow, iMtcSlStDueDateColumn)</t>
  </si>
  <si>
    <t xml:space="preserve">                Set oMtcSlStImportanceHeader = oMtcSelectedDirectory.Cells(iMtcSlStHeaderRow, iMtcSlStImportanceColumn)</t>
  </si>
  <si>
    <t xml:space="preserve">                Set oMtcSlStUrgencyHeader = oMtcSelectedDirectory.Cells(iMtcSlStHeaderRow, iMtcSlStUrgencyColumn)</t>
  </si>
  <si>
    <t xml:space="preserve">                Set oMtcSlStDifficultyHeader = oMtcSelectedDirectory.Cells(iMtcSlStHeaderRow, iMtcSlStDifficultyColumn)</t>
  </si>
  <si>
    <t xml:space="preserve">                Set oMtcSlStMomentumIndexHeader = oMtcSelectedDirectory.Cells(iMtcSlStHeaderRow, iMtcSlStMomentumIndexColumn)</t>
  </si>
  <si>
    <t xml:space="preserve">                Set oMtcSlStAvalancheIndexHeader = oMtcSelectedDirectory.Cells(iMtcSlStHeaderRow, iMtcSlStAvalancheIndexColumn)</t>
  </si>
  <si>
    <t xml:space="preserve">                Set oMtcSlStStatusHeader = oMtcSelectedDirectory.Cells(iMtcSlStHeaderRow, iMtcSlStStatusColumn)</t>
  </si>
  <si>
    <t xml:space="preserve">                Set oMtcSlStUpdatedHeader = oMtcSelectedDirectory.Cells(iMtcSlStHeaderRow, iMtcSlStUpdatedColumn)</t>
  </si>
  <si>
    <t xml:space="preserve">        Case sMtcClStandbyTasklist</t>
  </si>
  <si>
    <t xml:space="preserve">                Set oMtcClStandbyTasklist = oMtcCompiledLists.ListObjects(sMtcClStandbyTasklist)</t>
  </si>
  <si>
    <t xml:space="preserve">                Set oMtcClStDirectoryNumberHeader = oMtcCompiledLists.Cells(iMtcClStHeaderRow, iMtcClStDirectoryNumberColumn):     oMtcClStDirectoryNumberHeader.Value  = sMtcClStDirectoryNumberHeader</t>
  </si>
  <si>
    <t xml:space="preserve">                Set oMtcClStGenerationNumberHeader = oMtcCompiledLists.Cells(iMtcClStHeaderRow, iMtcClStGenerationNumberColumn):     oMtcClStGenerationNumberHeader.Value  = sMtcClStGenerationNumberHeader</t>
  </si>
  <si>
    <t xml:space="preserve">                Set oMtcClStTaskIDHeader = oMtcCompiledLists.Cells(iMtcClStHeaderRow, iMtcClStTaskIDColumn):     oMtcClStTaskIDHeader.Value  = sMtcClStTaskIDHeader</t>
  </si>
  <si>
    <t xml:space="preserve">                Set oMtcClStTaskHeader = oMtcCompiledLists.Cells(iMtcClStHeaderRow, iMtcClStTaskColumn):     oMtcClStTaskHeader.Value  = sMtcClStTaskHeader</t>
  </si>
  <si>
    <t xml:space="preserve">                Set oMtcClStCreatedHeader = oMtcCompiledLists.Cells(iMtcClStHeaderRow, iMtcClStCreatedColumn):     oMtcClStCreatedHeader.Value  = sMtcClStCreatedHeader</t>
  </si>
  <si>
    <t xml:space="preserve">                Set oMtcClStDueDateHeader = oMtcCompiledLists.Cells(iMtcClStHeaderRow, iMtcClStDueDateColumn):     oMtcClStDueDateHeader.Value  = sMtcClStDueDateHeader</t>
  </si>
  <si>
    <t xml:space="preserve">                Set oMtcClStImportanceHeader = oMtcCompiledLists.Cells(iMtcClStHeaderRow, iMtcClStImportanceColumn):     oMtcClStImportanceHeader.Value  = sMtcClStImportanceHeader</t>
  </si>
  <si>
    <t xml:space="preserve">                Set oMtcClStDifficultyHeader = oMtcCompiledLists.Cells(iMtcClStHeaderRow, iMtcClStDifficultyColumn):     oMtcClStDifficultyHeader.Value  = sMtcClStDifficultyHeader</t>
  </si>
  <si>
    <t xml:space="preserve">                Set oMtcClStUrgencyHeader = oMtcCompiledLists.Cells(iMtcClStHeaderRow, iMtcClStUrgencyColumn):     oMtcClStUrgencyHeader.Value  = sMtcClStUrgencyHeader</t>
  </si>
  <si>
    <t xml:space="preserve">                Set oMtcClStMomentumIndexHeader = oMtcCompiledLists.Cells(iMtcClStHeaderRow, iMtcClStMomentumIndexColumn):     oMtcClStMomentumIndexHeader.Value  = sMtcClStMomentumIndexHeader</t>
  </si>
  <si>
    <t xml:space="preserve">                Set oMtcClStAvalancheIndexHeader = oMtcCompiledLists.Cells(iMtcClStHeaderRow, iMtcClStAvalancheIndexColumn):     oMtcClStAvalancheIndexHeader.Value  = sMtcClStAvalancheIndexHeader</t>
  </si>
  <si>
    <t xml:space="preserve">                Set oMtcClStStatusHeader = oMtcCompiledLists.Cells(iMtcClStHeaderRow, iMtcClStStatusColumn):     oMtcClStStatusHeader.Value  = sMtcClStStatusHeader</t>
  </si>
  <si>
    <t xml:space="preserve">                Set oMtcClStUpdatedHeader = oMtcCompiledLists.Cells(iMtcClStHeaderRow, iMtcClStUpdatedColumn):     oMtcClStUpdatedHeader.Value  = sMtcClStUpdatedHeader</t>
  </si>
  <si>
    <t xml:space="preserve">        Case sMtcClTerminatedTasklist</t>
  </si>
  <si>
    <t xml:space="preserve">                Set oMtcClTerminatedTasklist = oMtcCompiledLists.ListObjects(sMtcClTerminatedTasklist)</t>
  </si>
  <si>
    <t xml:space="preserve">                Set oMtcClTtDirectoryNumberHeader = oMtcCompiledLists.Cells(iMtcClTtHeaderRow, iMtcClTtDirectoryNumberColumn):     oMtcClTtDirectoryNumberHeader.Value  = sMtcClTtDirectoryNumberHeader</t>
  </si>
  <si>
    <t xml:space="preserve">                Set oMtcClTtGenerationNumberHeader = oMtcCompiledLists.Cells(iMtcClTtHeaderRow, iMtcClTtGenerationNumberColumn):     oMtcClTtGenerationNumberHeader.Value  = sMtcClTtGenerationNumberHeader</t>
  </si>
  <si>
    <t xml:space="preserve">                Set oMtcClTtTaskIDHeader = oMtcCompiledLists.Cells(iMtcClTtHeaderRow, iMtcClTtTaskIDColumn):     oMtcClTtTaskIDHeader.Value  = sMtcClTtTaskIDHeader</t>
  </si>
  <si>
    <t xml:space="preserve">                Set oMtcClTtTaskHeader = oMtcCompiledLists.Cells(iMtcClTtHeaderRow, iMtcClTtTaskColumn):     oMtcClTtTaskHeader.Value  = sMtcClTtTaskHeader</t>
  </si>
  <si>
    <t xml:space="preserve">                Set oMtcClTtCreatedHeader = oMtcCompiledLists.Cells(iMtcClTtHeaderRow, iMtcClTtCreatedColumn):     oMtcClTtCreatedHeader.Value  = sMtcClTtCreatedHeader</t>
  </si>
  <si>
    <t xml:space="preserve">                Set oMtcClTtDueDateHeader = oMtcCompiledLists.Cells(iMtcClTtHeaderRow, iMtcClTtDueDateColumn):     oMtcClTtDueDateHeader.Value  = sMtcClTtDueDateHeader</t>
  </si>
  <si>
    <t xml:space="preserve">                Set oMtcClTtImportanceHeader = oMtcCompiledLists.Cells(iMtcClTtHeaderRow, iMtcClTtImportanceColumn):     oMtcClTtImportanceHeader.Value  = sMtcClTtImportanceHeader</t>
  </si>
  <si>
    <t xml:space="preserve">                Set oMtcClTtDifficultyHeader = oMtcCompiledLists.Cells(iMtcClTtHeaderRow, iMtcClTtDifficultyColumn):     oMtcClTtDifficultyHeader.Value  = sMtcClTtDifficultyHeader</t>
  </si>
  <si>
    <t xml:space="preserve">                Set oMtcClTtUrgencyHeader = oMtcCompiledLists.Cells(iMtcClTtHeaderRow, iMtcClTtUrgencyColumn):     oMtcClTtUrgencyHeader.Value  = sMtcClTtUrgencyHeader</t>
  </si>
  <si>
    <t xml:space="preserve">                Set oMtcClTtMomentumIndexHeader = oMtcCompiledLists.Cells(iMtcClTtHeaderRow, iMtcClTtMomentumIndexColumn):     oMtcClTtMomentumIndexHeader.Value  = sMtcClTtMomentumIndexHeader</t>
  </si>
  <si>
    <t xml:space="preserve">                Set oMtcClTtAvalancheIndexHeader = oMtcCompiledLists.Cells(iMtcClTtHeaderRow, iMtcClTtAvalancheIndexColumn):     oMtcClTtAvalancheIndexHeader.Value  = sMtcClTtAvalancheIndexHeader</t>
  </si>
  <si>
    <t xml:space="preserve">                Set oMtcClTtStatusHeader = oMtcCompiledLists.Cells(iMtcClTtHeaderRow, iMtcClTtStatusColumn):     oMtcClTtStatusHeader.Value  = sMtcClTtStatusHeader</t>
  </si>
  <si>
    <t xml:space="preserve">                Set oMtcClTtUpdatedHeader = oMtcCompiledLists.Cells(iMtcClTtHeaderRow, iMtcClTtUpdatedColumn):     oMtcClTtUpdatedHeader.Value  = sMtcClTtUpdatedHeader</t>
  </si>
  <si>
    <t xml:space="preserve">        Case sMtcClCompletedTasklist</t>
  </si>
  <si>
    <t xml:space="preserve">                Set oMtcClCompletedTasklist = oMtcCompiledLists.ListObjects(sMtcClCompletedTasklist)</t>
  </si>
  <si>
    <t xml:space="preserve">                Set oMtcClCtDirectoryNumberHeader = oMtcCompiledLists.Cells(iMtcClCtHeaderRow, iMtcClCtDirectoryNumberColumn):     oMtcClCtDirectoryNumberHeader.Value  = sMtcClCtDirectoryNumberHeader</t>
  </si>
  <si>
    <t xml:space="preserve">                Set oMtcClCtGenerationNumberHeader = oMtcCompiledLists.Cells(iMtcClCtHeaderRow, iMtcClCtGenerationNumberColumn):     oMtcClCtGenerationNumberHeader.Value  = sMtcClCtGenerationNumberHeader</t>
  </si>
  <si>
    <t xml:space="preserve">                Set oMtcClCtTaskIDHeader = oMtcCompiledLists.Cells(iMtcClCtHeaderRow, iMtcClCtTaskIDColumn):     oMtcClCtTaskIDHeader.Value  = sMtcClCtTaskIDHeader</t>
  </si>
  <si>
    <t xml:space="preserve">                Set oMtcClCtTaskHeader = oMtcCompiledLists.Cells(iMtcClCtHeaderRow, iMtcClCtTaskColumn):     oMtcClCtTaskHeader.Value  = sMtcClCtTaskHeader</t>
  </si>
  <si>
    <t xml:space="preserve">                Set oMtcClCtCreatedHeader = oMtcCompiledLists.Cells(iMtcClCtHeaderRow, iMtcClCtCreatedColumn):     oMtcClCtCreatedHeader.Value  = sMtcClCtCreatedHeader</t>
  </si>
  <si>
    <t xml:space="preserve">                Set oMtcClCtDueDateHeader = oMtcCompiledLists.Cells(iMtcClCtHeaderRow, iMtcClCtDueDateColumn):     oMtcClCtDueDateHeader.Value  = sMtcClCtDueDateHeader</t>
  </si>
  <si>
    <t xml:space="preserve">                Set oMtcClCtImportanceHeader = oMtcCompiledLists.Cells(iMtcClCtHeaderRow, iMtcClCtImportanceColumn):     oMtcClCtImportanceHeader.Value  = sMtcClCtImportanceHeader</t>
  </si>
  <si>
    <t xml:space="preserve">                Set oMtcClCtDifficultyHeader = oMtcCompiledLists.Cells(iMtcClCtHeaderRow, iMtcClCtDifficultyColumn):     oMtcClCtDifficultyHeader.Value  = sMtcClCtDifficultyHeader</t>
  </si>
  <si>
    <t xml:space="preserve">                Set oMtcClCtUrgencyHeader = oMtcCompiledLists.Cells(iMtcClCtHeaderRow, iMtcClCtUrgencyColumn):     oMtcClCtUrgencyHeader.Value  = sMtcClCtUrgencyHeader</t>
  </si>
  <si>
    <t xml:space="preserve">                Set oMtcClCtMomentumIndexHeader = oMtcCompiledLists.Cells(iMtcClCtHeaderRow, iMtcClCtMomentumIndexColumn):     oMtcClCtMomentumIndexHeader.Value  = sMtcClCtMomentumIndexHeader</t>
  </si>
  <si>
    <t xml:space="preserve">                Set oMtcClCtAvalancheIndexHeader = oMtcCompiledLists.Cells(iMtcClCtHeaderRow, iMtcClCtAvalancheIndexColumn):     oMtcClCtAvalancheIndexHeader.Value  = sMtcClCtAvalancheIndexHeader</t>
  </si>
  <si>
    <t xml:space="preserve">                Set oMtcClCtStatusHeader = oMtcCompiledLists.Cells(iMtcClCtHeaderRow, iMtcClCtStatusColumn):     oMtcClCtStatusHeader.Value  = sMtcClCtStatusHeader</t>
  </si>
  <si>
    <t xml:space="preserve">                Set oMtcClCtUpdatedHeader = oMtcCompiledLists.Cells(iMtcClCtHeaderRow, iMtcClCtUpdatedColumn):     oMtcClCtUpdatedHeader.Value  = sMtcClCtUpdatedHeader</t>
  </si>
  <si>
    <t xml:space="preserve">        Case sMtcCpTdRowScanner</t>
  </si>
  <si>
    <t xml:space="preserve">            Set oMtcCpTdDivisionCell = oMtcCoverPage.Cells(iMtcCpTdRowScanner, iMtcCpTdDivisionColumn)</t>
  </si>
  <si>
    <t xml:space="preserve">            Set oMtcCpTdDirNumCell = oMtcCoverPage.Cells(iMtcCpTdRowScanner, iMtcCpTdDirNumColumn)</t>
  </si>
  <si>
    <t xml:space="preserve">            Set oMtcCpTdDirLvlCell = oMtcCoverPage.Cells(iMtcCpTdRowScanner, iMtcCpTdDirLvlColumn)</t>
  </si>
  <si>
    <t xml:space="preserve">            Set oMtcCpTdSectionCell = oMtcCoverPage.Cells(iMtcCpTdRowScanner, iMtcCpTdSectionColumn)</t>
  </si>
  <si>
    <t xml:space="preserve">            Set oMtcCpTdDirectoryCell = oMtcCoverPage.Cells(iMtcCpTdRowScanner, iMtcCpTdDirectoryColumn)</t>
  </si>
  <si>
    <t xml:space="preserve">            Set oMtcCpTdTasklistCell = oMtcCoverPage.Cells(iMtcCpTdRowScanner, iMtcCpTdTasklistColumn)</t>
  </si>
  <si>
    <t xml:space="preserve">            Set oMtcCpTdTableCell = oMtcCoverPage.Cells(iMtcCpTdRowScanner, iMtcCpTdTableColumn)</t>
  </si>
  <si>
    <t xml:space="preserve">        Case sMtcTiItRowScanner</t>
  </si>
  <si>
    <t xml:space="preserve">        Case sMtcClAtRowScanner</t>
  </si>
  <si>
    <t xml:space="preserve">            Set oMtcClAtDirectoryNumberCell = oMtcCompiledLists.Cells(iMtcClAtRowScanner, iMtcClAtDirectoryNumberColumn)</t>
  </si>
  <si>
    <t xml:space="preserve">            Set oMtcClAtGenerationNumberCell = oMtcCompiledLists.Cells(iMtcClAtRowScanner, iMtcClAtGenerationNumberColumn)</t>
  </si>
  <si>
    <t xml:space="preserve">            Set oMtcClAtTaskIDCell = oMtcCompiledLists.Cells(iMtcClAtRowScanner, iMtcClAtTaskIDColumn)</t>
  </si>
  <si>
    <t xml:space="preserve">            Set oMtcClAtTaskCell = oMtcCompiledLists.Cells(iMtcClAtRowScanner, iMtcClAtTaskColumn)</t>
  </si>
  <si>
    <t xml:space="preserve">            Set oMtcClAtCreatedCell = oMtcCompiledLists.Cells(iMtcClAtRowScanner, iMtcClAtCreatedColumn)</t>
  </si>
  <si>
    <t xml:space="preserve">            Set oMtcClAtDueDateCell = oMtcCompiledLists.Cells(iMtcClAtRowScanner, iMtcClAtDueDateColumn)</t>
  </si>
  <si>
    <t xml:space="preserve">            Set oMtcClAtImportanceCell = oMtcCompiledLists.Cells(iMtcClAtRowScanner, iMtcClAtImportanceColumn)</t>
  </si>
  <si>
    <t xml:space="preserve">            Set oMtcClAtDifficultyCell = oMtcCompiledLists.Cells(iMtcClAtRowScanner, iMtcClAtDifficultyColumn)</t>
  </si>
  <si>
    <t xml:space="preserve">            Set oMtcClAtUrgencyCell = oMtcCompiledLists.Cells(iMtcClAtRowScanner, iMtcClAtUrgencyColumn)</t>
  </si>
  <si>
    <t xml:space="preserve">            Set oMtcClAtMomentumIndexCell = oMtcCompiledLists.Cells(iMtcClAtRowScanner, iMtcClAtMomentumIndexColumn)</t>
  </si>
  <si>
    <t xml:space="preserve">            Set oMtcClAtAvalancheIndexCell = oMtcCompiledLists.Cells(iMtcClAtRowScanner, iMtcClAtAvalancheIndexColumn)</t>
  </si>
  <si>
    <t xml:space="preserve">            Set oMtcClAtStatusCell = oMtcCompiledLists.Cells(iMtcClAtRowScanner, iMtcClAtStatusColumn)</t>
  </si>
  <si>
    <t xml:space="preserve">            Set oMtcClAtUpdatedCell = oMtcCompiledLists.Cells(iMtcClAtRowScanner, iMtcClAtUpdatedColumn)</t>
  </si>
  <si>
    <t xml:space="preserve">        Case sMtcSlStRowScanner</t>
  </si>
  <si>
    <t xml:space="preserve">            Set oMtcSlStDirectoryNumberCell = oMtcSelectedDirectory.Cells(iMtcSlStRowScanner, iMtcSlStDirectoryNumberColumn)</t>
  </si>
  <si>
    <t xml:space="preserve">            Set oMtcSlStGenerationNumberCell = oMtcSelectedDirectory.Cells(iMtcSlStRowScanner, iMtcSlStGenerationNumberColumn)</t>
  </si>
  <si>
    <t xml:space="preserve">            Set oMtcSlStTaskIDCell = oMtcSelectedDirectory.Cells(iMtcSlStRowScanner, iMtcSlStTaskIDColumn)</t>
  </si>
  <si>
    <t xml:space="preserve">            Set oMtcSlStTaskCell = oMtcSelectedDirectory.Cells(iMtcSlStRowScanner, iMtcSlStTaskColumn)</t>
  </si>
  <si>
    <t xml:space="preserve">            Set oMtcSlStCreatedCell = oMtcSelectedDirectory.Cells(iMtcSlStRowScanner, iMtcSlStCreatedColumn)</t>
  </si>
  <si>
    <t xml:space="preserve">            Set oMtcSlStDueDateCell = oMtcSelectedDirectory.Cells(iMtcSlStRowScanner, iMtcSlStDueDateColumn)</t>
  </si>
  <si>
    <t xml:space="preserve">            Set oMtcSlStImportanceCell = oMtcSelectedDirectory.Cells(iMtcSlStRowScanner, iMtcSlStImportanceColumn)</t>
  </si>
  <si>
    <t xml:space="preserve">            Set oMtcSlStUrgencyCell = oMtcSelectedDirectory.Cells(iMtcSlStRowScanner, iMtcSlStUrgencyColumn)</t>
  </si>
  <si>
    <t xml:space="preserve">            Set oMtcSlStDifficultyCell = oMtcSelectedDirectory.Cells(iMtcSlStRowScanner, iMtcSlStDifficultyColumn)</t>
  </si>
  <si>
    <t xml:space="preserve">            Set oMtcSlStMomentumIndexCell = oMtcSelectedDirectory.Cells(iMtcSlStRowScanner, iMtcSlStMomentumIndexColumn)</t>
  </si>
  <si>
    <t xml:space="preserve">            Set oMtcSlStAvalancheIndexCell = oMtcSelectedDirectory.Cells(iMtcSlStRowScanner, iMtcSlStAvalancheIndexColumn)</t>
  </si>
  <si>
    <t xml:space="preserve">            Set oMtcSlStStatusCell = oMtcSelectedDirectory.Cells(iMtcSlStRowScanner, iMtcSlStStatusColumn)</t>
  </si>
  <si>
    <t xml:space="preserve">            Set oMtcSlStUpdatedCell = oMtcSelectedDirectory.Cells(iMtcSlStRowScanner, iMtcSlStUpdatedColumn)</t>
  </si>
  <si>
    <t xml:space="preserve">        Case sMtcClStRowScanner</t>
  </si>
  <si>
    <t xml:space="preserve">            Set oMtcClStDirectoryNumberCell = oMtcCompiledLists.Cells(iMtcClStRowScanner, iMtcClStDirectoryNumberColumn)</t>
  </si>
  <si>
    <t xml:space="preserve">            Set oMtcClStGenerationNumberCell = oMtcCompiledLists.Cells(iMtcClStRowScanner, iMtcClStGenerationNumberColumn)</t>
  </si>
  <si>
    <t xml:space="preserve">            Set oMtcClStTaskIDCell = oMtcCompiledLists.Cells(iMtcClStRowScanner, iMtcClStTaskIDColumn)</t>
  </si>
  <si>
    <t xml:space="preserve">            Set oMtcClStTaskCell = oMtcCompiledLists.Cells(iMtcClStRowScanner, iMtcClStTaskColumn)</t>
  </si>
  <si>
    <t xml:space="preserve">            Set oMtcClStCreatedCell = oMtcCompiledLists.Cells(iMtcClStRowScanner, iMtcClStCreatedColumn)</t>
  </si>
  <si>
    <t xml:space="preserve">            Set oMtcClStDueDateCell = oMtcCompiledLists.Cells(iMtcClStRowScanner, iMtcClStDueDateColumn)</t>
  </si>
  <si>
    <t xml:space="preserve">            Set oMtcClStImportanceCell = oMtcCompiledLists.Cells(iMtcClStRowScanner, iMtcClStImportanceColumn)</t>
  </si>
  <si>
    <t xml:space="preserve">            Set oMtcClStDifficultyCell = oMtcCompiledLists.Cells(iMtcClStRowScanner, iMtcClStDifficultyColumn)</t>
  </si>
  <si>
    <t xml:space="preserve">            Set oMtcClStUrgencyCell = oMtcCompiledLists.Cells(iMtcClStRowScanner, iMtcClStUrgencyColumn)</t>
  </si>
  <si>
    <t xml:space="preserve">            Set oMtcClStMomentumIndexCell = oMtcCompiledLists.Cells(iMtcClStRowScanner, iMtcClStMomentumIndexColumn)</t>
  </si>
  <si>
    <t xml:space="preserve">            Set oMtcClStAvalancheIndexCell = oMtcCompiledLists.Cells(iMtcClStRowScanner, iMtcClStAvalancheIndexColumn)</t>
  </si>
  <si>
    <t xml:space="preserve">            Set oMtcClStStatusCell = oMtcCompiledLists.Cells(iMtcClStRowScanner, iMtcClStStatusColumn)</t>
  </si>
  <si>
    <t xml:space="preserve">            Set oMtcClStUpdatedCell = oMtcCompiledLists.Cells(iMtcClStRowScanner, iMtcClStUpdatedColumn)</t>
  </si>
  <si>
    <t xml:space="preserve">        Case sMtcClTtRowScanner</t>
  </si>
  <si>
    <t xml:space="preserve">            Set oMtcClTtDirectoryNumberCell = oMtcCompiledLists.Cells(iMtcClTtRowScanner, iMtcClTtDirectoryNumberColumn)</t>
  </si>
  <si>
    <t xml:space="preserve">            Set oMtcClTtGenerationNumberCell = oMtcCompiledLists.Cells(iMtcClTtRowScanner, iMtcClTtGenerationNumberColumn)</t>
  </si>
  <si>
    <t xml:space="preserve">            Set oMtcClTtTaskIDCell = oMtcCompiledLists.Cells(iMtcClTtRowScanner, iMtcClTtTaskIDColumn)</t>
  </si>
  <si>
    <t xml:space="preserve">            Set oMtcClTtTaskCell = oMtcCompiledLists.Cells(iMtcClTtRowScanner, iMtcClTtTaskColumn)</t>
  </si>
  <si>
    <t xml:space="preserve">            Set oMtcClTtCreatedCell = oMtcCompiledLists.Cells(iMtcClTtRowScanner, iMtcClTtCreatedColumn)</t>
  </si>
  <si>
    <t xml:space="preserve">            Set oMtcClTtDueDateCell = oMtcCompiledLists.Cells(iMtcClTtRowScanner, iMtcClTtDueDateColumn)</t>
  </si>
  <si>
    <t xml:space="preserve">            Set oMtcClTtImportanceCell = oMtcCompiledLists.Cells(iMtcClTtRowScanner, iMtcClTtImportanceColumn)</t>
  </si>
  <si>
    <t xml:space="preserve">            Set oMtcClTtDifficultyCell = oMtcCompiledLists.Cells(iMtcClTtRowScanner, iMtcClTtDifficultyColumn)</t>
  </si>
  <si>
    <t xml:space="preserve">            Set oMtcClTtUrgencyCell = oMtcCompiledLists.Cells(iMtcClTtRowScanner, iMtcClTtUrgencyColumn)</t>
  </si>
  <si>
    <t xml:space="preserve">            Set oMtcClTtMomentumIndexCell = oMtcCompiledLists.Cells(iMtcClTtRowScanner, iMtcClTtMomentumIndexColumn)</t>
  </si>
  <si>
    <t xml:space="preserve">            Set oMtcClTtAvalancheIndexCell = oMtcCompiledLists.Cells(iMtcClTtRowScanner, iMtcClTtAvalancheIndexColumn)</t>
  </si>
  <si>
    <t xml:space="preserve">            Set oMtcClTtStatusCell = oMtcCompiledLists.Cells(iMtcClTtRowScanner, iMtcClTtStatusColumn)</t>
  </si>
  <si>
    <t xml:space="preserve">            Set oMtcClTtUpdatedCell = oMtcCompiledLists.Cells(iMtcClTtRowScanner, iMtcClTtUpdatedColumn)</t>
  </si>
  <si>
    <t xml:space="preserve">        Case sMtcClCtRowScanner</t>
  </si>
  <si>
    <t xml:space="preserve">            Set oMtcClCtDirectoryNumberCell = oMtcCompiledLists.Cells(iMtcClCtRowScanner, iMtcClCtDirectoryNumberColumn)</t>
  </si>
  <si>
    <t xml:space="preserve">            Set oMtcClCtGenerationNumberCell = oMtcCompiledLists.Cells(iMtcClCtRowScanner, iMtcClCtGenerationNumberColumn)</t>
  </si>
  <si>
    <t xml:space="preserve">            Set oMtcClCtTaskIDCell = oMtcCompiledLists.Cells(iMtcClCtRowScanner, iMtcClCtTaskIDColumn)</t>
  </si>
  <si>
    <t xml:space="preserve">            Set oMtcClCtTaskCell = oMtcCompiledLists.Cells(iMtcClCtRowScanner, iMtcClCtTaskColumn)</t>
  </si>
  <si>
    <t xml:space="preserve">            Set oMtcClCtCreatedCell = oMtcCompiledLists.Cells(iMtcClCtRowScanner, iMtcClCtCreatedColumn)</t>
  </si>
  <si>
    <t xml:space="preserve">            Set oMtcClCtDueDateCell = oMtcCompiledLists.Cells(iMtcClCtRowScanner, iMtcClCtDueDateColumn)</t>
  </si>
  <si>
    <t xml:space="preserve">            Set oMtcClCtImportanceCell = oMtcCompiledLists.Cells(iMtcClCtRowScanner, iMtcClCtImportanceColumn)</t>
  </si>
  <si>
    <t xml:space="preserve">            Set oMtcClCtDifficultyCell = oMtcCompiledLists.Cells(iMtcClCtRowScanner, iMtcClCtDifficultyColumn)</t>
  </si>
  <si>
    <t xml:space="preserve">            Set oMtcClCtUrgencyCell = oMtcCompiledLists.Cells(iMtcClCtRowScanner, iMtcClCtUrgencyColumn)</t>
  </si>
  <si>
    <t xml:space="preserve">            Set oMtcClCtMomentumIndexCell = oMtcCompiledLists.Cells(iMtcClCtRowScanner, iMtcClCtMomentumIndexColumn)</t>
  </si>
  <si>
    <t xml:space="preserve">            Set oMtcClCtAvalancheIndexCell = oMtcCompiledLists.Cells(iMtcClCtRowScanner, iMtcClCtAvalancheIndexColumn)</t>
  </si>
  <si>
    <t xml:space="preserve">            Set oMtcClCtStatusCell = oMtcCompiledLists.Cells(iMtcClCtRowScanner, iMtcClCtStatusColumn)</t>
  </si>
  <si>
    <t xml:space="preserve">            Set oMtcClCtUpdatedCell = oMtcCompiledLists.Cells(iMtcClCtRowScanner, iMtcClCtUpdatedColumn)</t>
  </si>
  <si>
    <t xml:space="preserve">        Case sMtcCpTdRowScanner:     iMtcCpTdRowScanner = iMtcCpTdInitialRow</t>
  </si>
  <si>
    <t xml:space="preserve">        Case sMtcTiItRowScanner:     iMtcTiItRowScanner = iMtcTiItInitialRow</t>
  </si>
  <si>
    <t xml:space="preserve">        Case sMtcClAtRowScanner:     iMtcClAtRowScanner = iMtcClAtInitialRow</t>
  </si>
  <si>
    <t xml:space="preserve">        Case sMtcSlStRowScanner:     iMtcSlStRowScanner = iMtcSlStInitialRow</t>
  </si>
  <si>
    <t xml:space="preserve">        Case sMtcClStRowScanner:     iMtcClStRowScanner = iMtcClStInitialRow</t>
  </si>
  <si>
    <t xml:space="preserve">        Case sMtcClTtRowScanner:     iMtcClTtRowScanner = iMtcClTtInitialRow</t>
  </si>
  <si>
    <t xml:space="preserve">        Case sMtcClCtRowScanner:     iMtcClCtRowScanner = iMtcClCtInitialRow</t>
  </si>
  <si>
    <t xml:space="preserve">    iMtcCpTdRowScanner = iMtcCpTdInitialRow</t>
  </si>
  <si>
    <t xml:space="preserve">    iMtcTiItRowScanner = iMtcTiItInitialRow</t>
  </si>
  <si>
    <t xml:space="preserve">    iMtcClAtRowScanner = iMtcClAtInitialRow</t>
  </si>
  <si>
    <t xml:space="preserve">    iMtcSlStRowScanner = iMtcSlStInitialRow</t>
  </si>
  <si>
    <t xml:space="preserve">    iMtcClStRowScanner = iMtcClStInitialRow</t>
  </si>
  <si>
    <t xml:space="preserve">    iMtcClTtRowScanner = iMtcClTtInitialRow</t>
  </si>
  <si>
    <t xml:space="preserve">    iMtcClCtRowScanner = iMtcClCtInitialRow</t>
  </si>
  <si>
    <t xml:space="preserve">    SetTableScanner(sMtcCpTdRowScanner)</t>
  </si>
  <si>
    <t xml:space="preserve">    SetTableScanner(sMtcTiItRowScanner)</t>
  </si>
  <si>
    <t xml:space="preserve">    SetTableScanner(sMtcClAtRowScanner)</t>
  </si>
  <si>
    <t xml:space="preserve">    SetTableScanner(sMtcSlStRowScanner)</t>
  </si>
  <si>
    <t xml:space="preserve">    SetTableScanner(sMtcClStRowScanner)</t>
  </si>
  <si>
    <t xml:space="preserve">    SetTableScanner(sMtcClTtRowScanner)</t>
  </si>
  <si>
    <t xml:space="preserve">    SetTableScanner(sMtcClCtRowScanner)</t>
  </si>
  <si>
    <t xml:space="preserve">        Case sMtcCpTdRowScanner:     iMtcCpTdRowScanner = iMtcCpTdRowScanner + iStepValue</t>
  </si>
  <si>
    <t xml:space="preserve">        Case sMtcTiItRowScanner:     iMtcTiItRowScanner = iMtcTiItRowScanner + iStepValue</t>
  </si>
  <si>
    <t xml:space="preserve">        Case sMtcClAtRowScanner:     iMtcClAtRowScanner = iMtcClAtRowScanner + iStepValue</t>
  </si>
  <si>
    <t xml:space="preserve">        Case sMtcSlStRowScanner:     iMtcSlStRowScanner = iMtcSlStRowScanner + iStepValue</t>
  </si>
  <si>
    <t xml:space="preserve">        Case sMtcClStRowScanner:     iMtcClStRowScanner = iMtcClStRowScanner + iStepValue</t>
  </si>
  <si>
    <t xml:space="preserve">        Case sMtcClTtRowScanner:     iMtcClTtRowScanner = iMtcClTtRowScanner + iStepValue</t>
  </si>
  <si>
    <t xml:space="preserve">        Case sMtcClCtRowScanner:     iMtcClCtRowScanner = iMtcClCtRowScanner + iStepValue</t>
  </si>
  <si>
    <t xml:space="preserve">            Set oSelectedWorksheet = oMasterTasklistCompiler.Worksheets(sMtcCoverPage)</t>
  </si>
  <si>
    <t xml:space="preserve">            iSelectedHeaderRow = iMtcCpTdHeaderRow</t>
  </si>
  <si>
    <t xml:space="preserve">            Set oSelectedWorksheet = oMasterTasklistCompiler.Worksheets(sMtcTasklistInputs)</t>
  </si>
  <si>
    <t xml:space="preserve">            iSelectedHeaderRow = iMtcTiItHeaderRow</t>
  </si>
  <si>
    <t xml:space="preserve">            Set oSelectedWorksheet = oMasterTasklistCompiler.Worksheets(sMtcCompiledLists)</t>
  </si>
  <si>
    <t xml:space="preserve">            iSelectedHeaderRow = iMtcClAtHeaderRow</t>
  </si>
  <si>
    <t xml:space="preserve">            Set oSelectedWorksheet = oMasterTasklistCompiler.Worksheets(sMtcSelectedDirectory)</t>
  </si>
  <si>
    <t xml:space="preserve">            iSelectedHeaderRow = iMtcSlStHeaderRow</t>
  </si>
  <si>
    <t xml:space="preserve">            iSelectedHeaderRow = iMtcClStHeaderRow</t>
  </si>
  <si>
    <t xml:space="preserve">            iSelectedHeaderRow = iMtcClTtHeaderRow</t>
  </si>
  <si>
    <t xml:space="preserve">            iSelectedHeaderRow = iMtcClCtHeaderRow</t>
  </si>
  <si>
    <t xml:space="preserve">        Case sMtcCpRowScanner</t>
  </si>
  <si>
    <t xml:space="preserve">            MtcCpTdDivisionCell.Value  = sBlankCell</t>
  </si>
  <si>
    <t xml:space="preserve">            MtcCpTdDirNumCell.Value  = sBlankCell</t>
  </si>
  <si>
    <t xml:space="preserve">            MtcCpTdDirLvlCell.Value  = sBlankCell</t>
  </si>
  <si>
    <t xml:space="preserve">            MtcCpTdSectionCell.Value  = sBlankCell</t>
  </si>
  <si>
    <t xml:space="preserve">            MtcCpTdDirectoryCell.Value  = sBlankCell</t>
  </si>
  <si>
    <t xml:space="preserve">            MtcCpTdTasklistCell.Value  = sBlankCell</t>
  </si>
  <si>
    <t xml:space="preserve">            MtcCpTdTableCell.Value  = sBlankCell</t>
  </si>
  <si>
    <t xml:space="preserve">        Case sMtcTiRowScanner</t>
  </si>
  <si>
    <t xml:space="preserve">        Case sMtcClRowScanner</t>
  </si>
  <si>
    <t xml:space="preserve">            MtcClAtDirectoryNumberCell.Value  = sBlankCell</t>
  </si>
  <si>
    <t xml:space="preserve">            MtcClAtGenerationNumberCell.Value  = sBlankCell</t>
  </si>
  <si>
    <t xml:space="preserve">            MtcClAtTaskIDCell.Value  = sBlankCell</t>
  </si>
  <si>
    <t xml:space="preserve">            MtcClAtTaskCell.Value  = sBlankCell</t>
  </si>
  <si>
    <t xml:space="preserve">            MtcClAtCreatedCell.Value  = sBlankCell</t>
  </si>
  <si>
    <t xml:space="preserve">            MtcClAtDueDateCell.Value  = sBlankCell</t>
  </si>
  <si>
    <t xml:space="preserve">            MtcClAtImportanceCell.Value  = sBlankCell</t>
  </si>
  <si>
    <t xml:space="preserve">            MtcClAtDifficultyCell.Value  = sBlankCell</t>
  </si>
  <si>
    <t xml:space="preserve">            MtcClAtUrgencyCell.Value  = sBlankCell</t>
  </si>
  <si>
    <t xml:space="preserve">            MtcClAtMomentumIndexCell.Value  = sBlankCell</t>
  </si>
  <si>
    <t xml:space="preserve">            MtcClAtAvalancheIndexCell.Value  = sBlankCell</t>
  </si>
  <si>
    <t xml:space="preserve">            MtcClAtStatusCell.Value  = sBlankCell</t>
  </si>
  <si>
    <t xml:space="preserve">            MtcClAtUpdatedCell.Value  = sBlankCell</t>
  </si>
  <si>
    <t xml:space="preserve">        Case sMtcSlRowScanner</t>
  </si>
  <si>
    <t xml:space="preserve">            MtcSlStDirectoryNumberCell.Value  = sBlankCell</t>
  </si>
  <si>
    <t xml:space="preserve">            MtcSlStGenerationNumberCell.Value  = sBlankCell</t>
  </si>
  <si>
    <t xml:space="preserve">            MtcSlStTaskIDCell.Value  = sBlankCell</t>
  </si>
  <si>
    <t xml:space="preserve">            MtcSlStTaskCell.Value  = sBlankCell</t>
  </si>
  <si>
    <t xml:space="preserve">            MtcSlStCreatedCell.Value  = sBlankCell</t>
  </si>
  <si>
    <t xml:space="preserve">            MtcSlStDueDateCell.Value  = sBlankCell</t>
  </si>
  <si>
    <t xml:space="preserve">            MtcSlStImportanceCell.Value  = sBlankCell</t>
  </si>
  <si>
    <t xml:space="preserve">            MtcSlStUrgencyCell.Value  = sBlankCell</t>
  </si>
  <si>
    <t xml:space="preserve">            MtcSlStDifficultyCell.Value  = sBlankCell</t>
  </si>
  <si>
    <t xml:space="preserve">            MtcSlStMomentumIndexCell.Value  = sBlankCell</t>
  </si>
  <si>
    <t xml:space="preserve">            MtcSlStAvalancheIndexCell.Value  = sBlankCell</t>
  </si>
  <si>
    <t xml:space="preserve">            MtcSlStStatusCell.Value  = sBlankCell</t>
  </si>
  <si>
    <t xml:space="preserve">            MtcSlStUpdatedCell.Value  = sBlankCell</t>
  </si>
  <si>
    <t xml:space="preserve">            MtcClStDirectoryNumberCell.Value  = sBlankCell</t>
  </si>
  <si>
    <t xml:space="preserve">            MtcClStGenerationNumberCell.Value  = sBlankCell</t>
  </si>
  <si>
    <t xml:space="preserve">            MtcClStTaskIDCell.Value  = sBlankCell</t>
  </si>
  <si>
    <t xml:space="preserve">            MtcClStTaskCell.Value  = sBlankCell</t>
  </si>
  <si>
    <t xml:space="preserve">            MtcClStCreatedCell.Value  = sBlankCell</t>
  </si>
  <si>
    <t xml:space="preserve">            MtcClStDueDateCell.Value  = sBlankCell</t>
  </si>
  <si>
    <t xml:space="preserve">            MtcClStImportanceCell.Value  = sBlankCell</t>
  </si>
  <si>
    <t xml:space="preserve">            MtcClStDifficultyCell.Value  = sBlankCell</t>
  </si>
  <si>
    <t xml:space="preserve">            MtcClStUrgencyCell.Value  = sBlankCell</t>
  </si>
  <si>
    <t xml:space="preserve">            MtcClStMomentumIndexCell.Value  = sBlankCell</t>
  </si>
  <si>
    <t xml:space="preserve">            MtcClStAvalancheIndexCell.Value  = sBlankCell</t>
  </si>
  <si>
    <t xml:space="preserve">            MtcClStStatusCell.Value  = sBlankCell</t>
  </si>
  <si>
    <t xml:space="preserve">            MtcClStUpdatedCell.Value  = sBlankCell</t>
  </si>
  <si>
    <t xml:space="preserve">            MtcClTtDirectoryNumberCell.Value  = sBlankCell</t>
  </si>
  <si>
    <t xml:space="preserve">            MtcClTtGenerationNumberCell.Value  = sBlankCell</t>
  </si>
  <si>
    <t xml:space="preserve">            MtcClTtTaskIDCell.Value  = sBlankCell</t>
  </si>
  <si>
    <t xml:space="preserve">            MtcClTtTaskCell.Value  = sBlankCell</t>
  </si>
  <si>
    <t xml:space="preserve">            MtcClTtCreatedCell.Value  = sBlankCell</t>
  </si>
  <si>
    <t xml:space="preserve">            MtcClTtDueDateCell.Value  = sBlankCell</t>
  </si>
  <si>
    <t xml:space="preserve">            MtcClTtImportanceCell.Value  = sBlankCell</t>
  </si>
  <si>
    <t xml:space="preserve">            MtcClTtDifficultyCell.Value  = sBlankCell</t>
  </si>
  <si>
    <t xml:space="preserve">            MtcClTtUrgencyCell.Value  = sBlankCell</t>
  </si>
  <si>
    <t xml:space="preserve">            MtcClTtMomentumIndexCell.Value  = sBlankCell</t>
  </si>
  <si>
    <t xml:space="preserve">            MtcClTtAvalancheIndexCell.Value  = sBlankCell</t>
  </si>
  <si>
    <t xml:space="preserve">            MtcClTtStatusCell.Value  = sBlankCell</t>
  </si>
  <si>
    <t xml:space="preserve">            MtcClTtUpdatedCell.Value  = sBlankCell</t>
  </si>
  <si>
    <t xml:space="preserve">            MtcClCtDirectoryNumberCell.Value  = sBlankCell</t>
  </si>
  <si>
    <t xml:space="preserve">            MtcClCtGenerationNumberCell.Value  = sBlankCell</t>
  </si>
  <si>
    <t xml:space="preserve">            MtcClCtTaskIDCell.Value  = sBlankCell</t>
  </si>
  <si>
    <t xml:space="preserve">            MtcClCtTaskCell.Value  = sBlankCell</t>
  </si>
  <si>
    <t xml:space="preserve">            MtcClCtCreatedCell.Value  = sBlankCell</t>
  </si>
  <si>
    <t xml:space="preserve">            MtcClCtDueDateCell.Value  = sBlankCell</t>
  </si>
  <si>
    <t xml:space="preserve">            MtcClCtImportanceCell.Value  = sBlankCell</t>
  </si>
  <si>
    <t xml:space="preserve">            MtcClCtDifficultyCell.Value  = sBlankCell</t>
  </si>
  <si>
    <t xml:space="preserve">            MtcClCtUrgencyCell.Value  = sBlankCell</t>
  </si>
  <si>
    <t xml:space="preserve">            MtcClCtMomentumIndexCell.Value  = sBlankCell</t>
  </si>
  <si>
    <t xml:space="preserve">            MtcClCtAvalancheIndexCell.Value  = sBlankCell</t>
  </si>
  <si>
    <t xml:space="preserve">            MtcClCtStatusCell.Value  = sBlankCell</t>
  </si>
  <si>
    <t xml:space="preserve">            MtcClCtUpdatedCell.Value  = sBlankCell</t>
  </si>
  <si>
    <t xml:space="preserve">    Public oMtcTiUploadInterface As Object:     Public Const sMtcTiUploadInterface As String = "Upload Interface"</t>
  </si>
  <si>
    <t>'Upload Interface, Table 1 from Tasklist Inputs Worksheet</t>
  </si>
  <si>
    <t xml:space="preserve">    Public Const iMtcTiItDirectoryColumn As Byte = 1</t>
  </si>
  <si>
    <t xml:space="preserve">    Public Const iMtcTiItTaskColumn As Byte = iMtcTiItDirectoryColumn + 1</t>
  </si>
  <si>
    <t xml:space="preserve">    Public Const iMtcTiItDueDateColumn As Byte = iMtcTiItTaskColumn + 1</t>
  </si>
  <si>
    <t xml:space="preserve">    Public Const iMtcTiItImportanceColumn As Byte = iMtcTiItDueDateColumn + 1</t>
  </si>
  <si>
    <t xml:space="preserve">    Public Const iMtcTiItUrgencyColumn As Byte = iMtcTiItImportanceColumn + 1</t>
  </si>
  <si>
    <t xml:space="preserve">    Public Const iMtcTiItDifficultyColumn As Byte = iMtcTiItUrgencyColumn + 1</t>
  </si>
  <si>
    <t xml:space="preserve">    Public Const iMtcTiItTableLength As Byte = iMtcTiItDifficultyColumn - iMtcTiItDirectoryColumn + 1</t>
  </si>
  <si>
    <t xml:space="preserve">    Public oMtcTiItDirectoryCell As Object</t>
  </si>
  <si>
    <t xml:space="preserve">    Public oMtcTiItTaskCell As Object</t>
  </si>
  <si>
    <t xml:space="preserve">    Public oMtcTiItDueDateCell As Object</t>
  </si>
  <si>
    <t xml:space="preserve">    Public oMtcTiItImportanceCell As Object</t>
  </si>
  <si>
    <t xml:space="preserve">    Public oMtcTiItUrgencyCell As Object</t>
  </si>
  <si>
    <t xml:space="preserve">    Public oMtcTiItDifficultyCell As Object</t>
  </si>
  <si>
    <t xml:space="preserve">    Public oMtcTiItDirectoryHeader As Object:     Public Const sMtcTiItDirectoryHeader As String = "Directory"</t>
  </si>
  <si>
    <t xml:space="preserve">    Public oMtcTiItTaskHeader As Object:     Public Const sMtcTiItTaskHeader As String = "Task"</t>
  </si>
  <si>
    <t xml:space="preserve">    Public oMtcTiItDueDateHeader As Object:     Public Const sMtcTiItDueDateHeader As String = "Due Date"</t>
  </si>
  <si>
    <t xml:space="preserve">    Public oMtcTiItImportanceHeader As Object:     Public Const sMtcTiItImportanceHeader As String = "Importance"</t>
  </si>
  <si>
    <t xml:space="preserve">    Public oMtcTiItUrgencyHeader As Object:     Public Const sMtcTiItUrgencyHeader As String = "Urgency"</t>
  </si>
  <si>
    <t xml:space="preserve">    Public oMtcTiItDifficultyHeader As Object:     Public Const sMtcTiItDifficultyHeader As String = "Difficulty"</t>
  </si>
  <si>
    <t xml:space="preserve">    Public Const sGblCActive As String = "Active"</t>
  </si>
  <si>
    <t xml:space="preserve">    Public Const sGblCCompleted As String = "Completed"</t>
  </si>
  <si>
    <t xml:space="preserve">    Public Const sGblCTerminated As String = "Terminated"</t>
  </si>
  <si>
    <t xml:space="preserve">    Public Const sGblCStandby As String = "Standby"</t>
  </si>
  <si>
    <t xml:space="preserve">                Set oMtcTiItDirectoryHeader = oMtcTasklistInputs.Cells(iMtcTiItHeaderRow, iMtcTiItDirectoryColumn):     oMtcTiItDirectoryHeader.Value  = sMtcTiItDirectoryHeader</t>
  </si>
  <si>
    <t xml:space="preserve">                Set oMtcTiItTaskHeader = oMtcTasklistInputs.Cells(iMtcTiItHeaderRow, iMtcTiItTaskColumn):     oMtcTiItTaskHeader.Value  = sMtcTiItTaskHeader</t>
  </si>
  <si>
    <t xml:space="preserve">                Set oMtcTiItDueDateHeader = oMtcTasklistInputs.Cells(iMtcTiItHeaderRow, iMtcTiItDueDateColumn):     oMtcTiItDueDateHeader.Value  = sMtcTiItDueDateHeader</t>
  </si>
  <si>
    <t xml:space="preserve">                Set oMtcTiItImportanceHeader = oMtcTasklistInputs.Cells(iMtcTiItHeaderRow, iMtcTiItImportanceColumn):     oMtcTiItImportanceHeader.Value  = sMtcTiItImportanceHeader</t>
  </si>
  <si>
    <t xml:space="preserve">                Set oMtcTiItUrgencyHeader = oMtcTasklistInputs.Cells(iMtcTiItHeaderRow, iMtcTiItUrgencyColumn):     oMtcTiItUrgencyHeader.Value  = sMtcTiItUrgencyHeader</t>
  </si>
  <si>
    <t xml:space="preserve">                Set oMtcTiItDifficultyHeader = oMtcTasklistInputs.Cells(iMtcTiItHeaderRow, iMtcTiItDifficultyColumn):     oMtcTiItDifficultyHeader.Value  = sMtcTiItDifficultyHeader</t>
  </si>
  <si>
    <t xml:space="preserve">            Set oMtcTiItDirectoryCell = oMtcTasklistInputs.Cells(iMtcTiItRowScanner, iMtcTiItDirectoryColumn)</t>
  </si>
  <si>
    <t xml:space="preserve">            Set oMtcTiItTaskCell = oMtcTasklistInputs.Cells(iMtcTiItRowScanner, iMtcTiItTaskColumn)</t>
  </si>
  <si>
    <t xml:space="preserve">            Set oMtcTiItDueDateCell = oMtcTasklistInputs.Cells(iMtcTiItRowScanner, iMtcTiItDueDateColumn)</t>
  </si>
  <si>
    <t xml:space="preserve">            Set oMtcTiItImportanceCell = oMtcTasklistInputs.Cells(iMtcTiItRowScanner, iMtcTiItImportanceColumn)</t>
  </si>
  <si>
    <t xml:space="preserve">            Set oMtcTiItUrgencyCell = oMtcTasklistInputs.Cells(iMtcTiItRowScanner, iMtcTiItUrgencyColumn)</t>
  </si>
  <si>
    <t xml:space="preserve">            Set oMtcTiItDifficultyCell = oMtcTasklistInputs.Cells(iMtcTiItRowScanner, iMtcTiItDifficultyColumn)</t>
  </si>
  <si>
    <t xml:space="preserve">            MtcTiItDirectoryCell.Value  = sBlankCell</t>
  </si>
  <si>
    <t xml:space="preserve">            MtcTiItTaskCell.Value  = sBlankCell</t>
  </si>
  <si>
    <t xml:space="preserve">            MtcTiItDueDateCell.Value  = sBlankCell</t>
  </si>
  <si>
    <t xml:space="preserve">            MtcTiItImportanceCell.Value  = sBlankCell</t>
  </si>
  <si>
    <t xml:space="preserve">            MtcTiItUrgencyCell.Value  = sBlankCell</t>
  </si>
  <si>
    <t xml:space="preserve">            MtcTiItDifficultyCell.Value  = sBlankCell</t>
  </si>
  <si>
    <t xml:space="preserve">    Public Const iMtcSlStDirectoryNumberColumn As Byte = 1</t>
  </si>
  <si>
    <t xml:space="preserve">    Public Const iMtcSlStGenerationNumberColumn As Byte = iMtcSlStDirectoryNumberColumn + 1</t>
  </si>
  <si>
    <t xml:space="preserve">    Public Const iMtcSlStTaskIDColumn As Byte = iMtcSlStGenerationNumberColumn + 1</t>
  </si>
  <si>
    <t xml:space="preserve">    Public Const iMtcSlStTaskColumn As Byte = iMtcSlStTaskIDColumn + 1</t>
  </si>
  <si>
    <t xml:space="preserve">    Public Const iMtcSlStCreatedColumn As Byte = iMtcSlStTaskColumn + 1</t>
  </si>
  <si>
    <t xml:space="preserve">    Public Const iMtcSlStDueDateColumn As Byte = iMtcSlStCreatedColumn + 1</t>
  </si>
  <si>
    <t xml:space="preserve">    Public Const iMtcSlStImportanceColumn As Byte = iMtcSlStDueDateColumn + 1</t>
  </si>
  <si>
    <t xml:space="preserve">    Public Const iMtcSlStUrgencyColumn As Byte = iMtcSlStImportanceColumn + 1</t>
  </si>
  <si>
    <t xml:space="preserve">    Public Const iMtcSlStDifficultyColumn As Byte = iMtcSlStUrgencyColumn + 1</t>
  </si>
  <si>
    <t xml:space="preserve">    Public Const iMtcSlStMomentumIndexColumn As Byte = iMtcSlStDifficultyColumn + 1</t>
  </si>
  <si>
    <t xml:space="preserve">    Public Const iMtcSlStAvalancheIndexColumn As Byte = iMtcSlStMomentumIndexColumn + 1</t>
  </si>
  <si>
    <t xml:space="preserve">    Public Const iMtcSlStStatusColumn As Byte = iMtcSlStAvalancheIndexColumn + 1</t>
  </si>
  <si>
    <t xml:space="preserve">    Public Const iMtcSlStUpdatedColumn As Byte = iMtcSlStStatusColumn + 1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</si>
</sst>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0"/>
      <name val="Palatino Linotype"/>
      <family val="1"/>
    </font>
    <font>
      <sz val="11"/>
      <color theme="1"/>
      <name val="Palatino Linotype"/>
      <family val="1"/>
    </font>
    <font>
      <sz val="16"/>
      <color theme="0"/>
      <name val="Palatino Linotype"/>
      <family val="1"/>
    </font>
    <font>
      <sz val="20"/>
      <color theme="0"/>
      <name val="Palatino Linotype"/>
      <family val="1"/>
    </font>
    <font>
      <sz val="18"/>
      <color theme="0"/>
      <name val="Palatino Linotype"/>
      <family val="1"/>
    </font>
    <font>
      <sz val="11"/>
      <color theme="0"/>
      <name val="Yu Gothic UI"/>
      <family val="2"/>
    </font>
    <font>
      <sz val="11"/>
      <color theme="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4" fontId="3" fillId="0" borderId="0" xfId="0" applyNumberFormat="1" applyFont="1" applyAlignment="1">
      <alignment horizontal="right"/>
    </xf>
    <xf numFmtId="164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/>
    </xf>
    <xf numFmtId="11" fontId="3" fillId="0" borderId="0" xfId="0" applyNumberFormat="1" applyFont="1" applyAlignment="1">
      <alignment horizontal="right"/>
    </xf>
    <xf numFmtId="0" fontId="7" fillId="2" borderId="0" xfId="0" quotePrefix="1" applyFont="1" applyFill="1"/>
    <xf numFmtId="0" fontId="7" fillId="2" borderId="0" xfId="0" applyFont="1" applyFill="1"/>
    <xf numFmtId="0" fontId="8" fillId="2" borderId="0" xfId="0" applyFont="1" applyFill="1"/>
    <xf numFmtId="0" fontId="8" fillId="2" borderId="0" xfId="0" quotePrefix="1" applyFont="1" applyFill="1"/>
    <xf numFmtId="0" fontId="7" fillId="2" borderId="0" xfId="0" quotePrefix="1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3" fillId="3" borderId="0" xfId="0" applyFont="1" applyFill="1"/>
    <xf numFmtId="0" fontId="6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126"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alatino Linotype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alatino Linotype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alatino Linotype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alatino Linotype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alatino Linotype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ont>
        <strike val="0"/>
        <outline val="0"/>
        <shadow val="0"/>
        <u val="none"/>
        <vertAlign val="baseline"/>
        <name val="Palatino Linotype"/>
        <family val="1"/>
        <scheme val="none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6</xdr:row>
          <xdr:rowOff>57150</xdr:rowOff>
        </xdr:from>
        <xdr:to>
          <xdr:col>0</xdr:col>
          <xdr:colOff>1076325</xdr:colOff>
          <xdr:row>9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My Code For Me :)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323850</xdr:rowOff>
        </xdr:from>
        <xdr:to>
          <xdr:col>0</xdr:col>
          <xdr:colOff>1085850</xdr:colOff>
          <xdr:row>2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In Yellow Blanks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</xdr:row>
          <xdr:rowOff>57150</xdr:rowOff>
        </xdr:from>
        <xdr:to>
          <xdr:col>0</xdr:col>
          <xdr:colOff>1066800</xdr:colOff>
          <xdr:row>5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95250</xdr:rowOff>
        </xdr:from>
        <xdr:to>
          <xdr:col>0</xdr:col>
          <xdr:colOff>1057275</xdr:colOff>
          <xdr:row>4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and Copy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161925</xdr:rowOff>
        </xdr:from>
        <xdr:to>
          <xdr:col>0</xdr:col>
          <xdr:colOff>1095375</xdr:colOff>
          <xdr:row>3</xdr:row>
          <xdr:rowOff>200025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and Copy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5</xdr:row>
          <xdr:rowOff>85725</xdr:rowOff>
        </xdr:from>
        <xdr:to>
          <xdr:col>0</xdr:col>
          <xdr:colOff>1009650</xdr:colOff>
          <xdr:row>7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Rewrite Code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E3ABBA-FB4F-4633-9D99-120243E2152D}" name="Table1" displayName="Table1" ref="AM2:AQ15" totalsRowShown="0" headerRowDxfId="47" dataDxfId="46">
  <autoFilter ref="AM2:AQ15" xr:uid="{5A893875-8908-4B51-889F-BFFD7F238370}"/>
  <tableColumns count="5">
    <tableColumn id="1" xr3:uid="{E06BA50F-7209-4484-A286-D8C317C218FC}" name="Type" dataDxfId="45"/>
    <tableColumn id="2" xr3:uid="{25463E3D-DFEA-4857-8728-9BB6DBED7345}" name="SubType" dataDxfId="44"/>
    <tableColumn id="3" xr3:uid="{65DB499C-2F82-4831-9E23-7258C74B8BE0}" name="Par Low" dataDxfId="43"/>
    <tableColumn id="4" xr3:uid="{D30EF112-A487-4A9E-966B-8CF9969BBF6F}" name="Par High" dataDxfId="42"/>
    <tableColumn id="5" xr3:uid="{FBF5B646-8CEB-499A-959A-BB76C59CBE62}" name="Size (bytes)" dataDxfId="41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7EC7F9-8613-4609-8A22-078D8AE291EB}" name="CbgIiVariables" displayName="CbgIiVariables" ref="AH2:AI200" totalsRowShown="0" headerRowDxfId="40" dataDxfId="39">
  <autoFilter ref="AH2:AI200" xr:uid="{2A41BBE3-3930-4CE6-8EFF-45594260EA41}"/>
  <sortState xmlns:xlrd2="http://schemas.microsoft.com/office/spreadsheetml/2017/richdata2" ref="AH3:AI200">
    <sortCondition ref="AH2"/>
  </sortState>
  <tableColumns count="2">
    <tableColumn id="1" xr3:uid="{1E5920F6-5F7F-472A-A676-312A7A15FDF0}" name="Var" dataDxfId="38"/>
    <tableColumn id="2" xr3:uid="{6F8974B0-EEA2-4DA6-85C3-E2F4B41CABA3}" name="Data Type" dataDxfId="37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244BB-218F-4DA4-9763-C655081E70E7}" name="CbgIiConstants" displayName="CbgIiConstants" ref="AD2:AF200" totalsRowShown="0" headerRowDxfId="36" dataDxfId="35">
  <autoFilter ref="AD2:AF200" xr:uid="{1441F705-C472-4A96-8E38-DC8483EC96FC}"/>
  <sortState xmlns:xlrd2="http://schemas.microsoft.com/office/spreadsheetml/2017/richdata2" ref="AD3:AF200">
    <sortCondition ref="AD2"/>
  </sortState>
  <tableColumns count="3">
    <tableColumn id="1" xr3:uid="{071724C0-2206-45F5-84D9-DF9518FA0FA2}" name="Const" dataDxfId="34"/>
    <tableColumn id="2" xr3:uid="{A757A477-FDE7-4C39-B9A3-AC958A9D88A6}" name="Data Type" dataDxfId="33"/>
    <tableColumn id="3" xr3:uid="{E1F7C51F-B21A-4282-8BDB-C8AE2290D344}" name="Value" dataDxfId="32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A689D7-E11D-4B33-A883-BD040E82ABFC}" name="CbgIiColumns" displayName="CbgIiColumns" ref="W2:AB200" totalsRowShown="0" headerRowDxfId="31" dataDxfId="30">
  <autoFilter ref="W2:AB200" xr:uid="{8EE791E7-CA7B-463D-82C1-0861F185671C}"/>
  <sortState xmlns:xlrd2="http://schemas.microsoft.com/office/spreadsheetml/2017/richdata2" ref="W3:AB200">
    <sortCondition ref="X2:X200"/>
  </sortState>
  <tableColumns count="6">
    <tableColumn id="2" xr3:uid="{0D3844DC-C9E2-43BC-9990-1E3414B0281A}" name="Rank" dataDxfId="29"/>
    <tableColumn id="7" xr3:uid="{C8094FBB-3218-40E2-9553-18D3B1B4DB4E}" name="Worksheet" dataDxfId="28">
      <calculatedColumnFormula>IF(CbgIiColumns[[#This Row],[Table]] &lt;&gt; "", _xlfn.XLOOKUP(CbgIiColumns[[#This Row],[Table]], CbgIiTables[Table Name],CbgIiTables[Worksheet]))</calculatedColumnFormula>
    </tableColumn>
    <tableColumn id="3" xr3:uid="{717BEA66-2F01-4E68-94E4-6BC9046A6F23}" name="Table" dataDxfId="27"/>
    <tableColumn id="5" xr3:uid="{99F37A9C-3AF5-4C06-9ADD-97C8F5AA58B1}" name="Name" dataDxfId="26"/>
    <tableColumn id="6" xr3:uid="{9A553117-1B46-4E32-BE9D-48EC11BCE264}" name="Codename" dataDxfId="25">
      <calculatedColumnFormula>SUBSTITUTE(CbgIiColumns[[#This Row],[Name]], " ", "")</calculatedColumnFormula>
    </tableColumn>
    <tableColumn id="4" xr3:uid="{CF2782C5-557A-4636-A77C-8E8400934B68}" name="Type" dataDxfId="24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BA4A43-B397-4BA8-BCD7-AB5A51FE8E13}" name="CbgIiTables" displayName="CbgIiTables" ref="O2:U200" totalsRowShown="0" headerRowDxfId="23" dataDxfId="22">
  <autoFilter ref="O2:U200" xr:uid="{649AFD69-1B5E-4FCB-86BA-C5A9A3AB5525}"/>
  <sortState xmlns:xlrd2="http://schemas.microsoft.com/office/spreadsheetml/2017/richdata2" ref="O3:U200">
    <sortCondition ref="P2"/>
  </sortState>
  <tableColumns count="7">
    <tableColumn id="1" xr3:uid="{CD266F97-FBC6-4FF6-AE15-9218F8372602}" name="Worksheet" dataDxfId="21"/>
    <tableColumn id="2" xr3:uid="{1DA0A114-3782-4527-9FFA-53E718836D8A}" name="Table Name" dataDxfId="20"/>
    <tableColumn id="3" xr3:uid="{FDA70402-CC0E-4F10-A62A-B184D60C8C34}" name="Codename" dataDxfId="19">
      <calculatedColumnFormula>SUBSTITUTE(CbgIiTables[[#This Row],[Table Name]], " ", "")</calculatedColumnFormula>
    </tableColumn>
    <tableColumn id="7" xr3:uid="{C2E23A61-1737-4A06-BB31-E24FDB805025}" name="Rank" dataDxfId="18"/>
    <tableColumn id="6" xr3:uid="{166C7E0C-5C3F-4E5E-A258-C9821478CC7C}" name="Init" dataDxfId="17"/>
    <tableColumn id="5" xr3:uid="{87F87924-A7E4-45F7-9C3A-E2B70E4CF4DF}" name="HeaderRow" dataDxfId="16"/>
    <tableColumn id="4" xr3:uid="{10BDA858-D14E-4FCD-8A04-7FC1A0CB63BF}" name="Type" dataDxfId="15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50AFD1B-386F-4494-95EB-D6ADA9C91320}" name="CbgIiWorksheets" displayName="CbgIiWorksheets" ref="H2:M200" totalsRowShown="0" headerRowDxfId="14" dataDxfId="13">
  <autoFilter ref="H2:M200" xr:uid="{8785C3C4-2721-4958-8EEC-7B5C76983007}"/>
  <sortState xmlns:xlrd2="http://schemas.microsoft.com/office/spreadsheetml/2017/richdata2" ref="H3:M200">
    <sortCondition ref="J2"/>
  </sortState>
  <tableColumns count="6">
    <tableColumn id="1" xr3:uid="{BF743E03-CE1A-409B-8AA9-F55B7D933DF0}" name="Workbook" dataDxfId="12"/>
    <tableColumn id="6" xr3:uid="{65303B76-3D9A-4F74-B649-26F182B7F81A}" name="Rank" dataDxfId="11"/>
    <tableColumn id="2" xr3:uid="{D853356E-E4D1-4BB4-8685-2F7456E05D86}" name="Worksheet" dataDxfId="10"/>
    <tableColumn id="5" xr3:uid="{F8288B22-5CDD-4E7D-A980-54DFA08C92D2}" name="Codename" dataDxfId="9">
      <calculatedColumnFormula>SUBSTITUTE(CbgIiWorksheets[[#This Row],[Worksheet]], " ", "")</calculatedColumnFormula>
    </tableColumn>
    <tableColumn id="3" xr3:uid="{10FACC81-D9D5-4A56-BA00-CD5589099817}" name="Init" dataDxfId="8"/>
    <tableColumn id="4" xr3:uid="{29BC86A4-36E3-4ED0-8BF6-1FB9EDC1C49D}" name="Type" dataDxfId="7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A72A8D-AAFE-4199-8462-8627CDF66BE1}" name="CbgIiWorkbooks" displayName="CbgIiWorkbooks" ref="B2:F200" totalsRowShown="0" headerRowDxfId="6" dataDxfId="5">
  <autoFilter ref="B2:F200" xr:uid="{7788E676-1338-4B42-827A-1119BF4D7CA8}"/>
  <sortState xmlns:xlrd2="http://schemas.microsoft.com/office/spreadsheetml/2017/richdata2" ref="B3:F200">
    <sortCondition ref="B2"/>
  </sortState>
  <tableColumns count="5">
    <tableColumn id="1" xr3:uid="{264CBAF9-746F-43AF-B5F9-753E0DFE15E7}" name="Workbook" dataDxfId="4"/>
    <tableColumn id="4" xr3:uid="{D1976F5F-C76C-4D6E-9BAE-C31B6CDEB382}" name="Rank" dataDxfId="3"/>
    <tableColumn id="3" xr3:uid="{2A4F5E46-6E6A-4EF4-8CF9-7D2A6538A878}" name="Codename" dataDxfId="2">
      <calculatedColumnFormula>SUBSTITUTE(CbgIiWorkbooks[[#This Row],[Workbook]], " ", "")</calculatedColumnFormula>
    </tableColumn>
    <tableColumn id="5" xr3:uid="{3CDB8D3F-26D5-47FD-8526-BC14BFFECDAD}" name="Initials" dataDxfId="1"/>
    <tableColumn id="2" xr3:uid="{46CE1C8B-0BB8-463E-B39F-D4C32C6D7757}" name="File Name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13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9912-D54A-4F16-A726-2B124A2B5BDD}">
  <sheetPr codeName="Sheet1"/>
  <dimension ref="A1:AQ200"/>
  <sheetViews>
    <sheetView zoomScale="190" zoomScaleNormal="190" workbookViewId="0">
      <pane xSplit="1" topLeftCell="G1" activePane="topRight" state="frozen"/>
      <selection pane="topRight" activeCell="G8" sqref="G8"/>
    </sheetView>
  </sheetViews>
  <sheetFormatPr defaultColWidth="9.140625" defaultRowHeight="16.5" x14ac:dyDescent="0.3"/>
  <cols>
    <col min="1" max="1" width="17.28515625" style="13" customWidth="1"/>
    <col min="2" max="2" width="20.42578125" style="1" bestFit="1" customWidth="1"/>
    <col min="3" max="3" width="8.7109375" style="1" bestFit="1" customWidth="1"/>
    <col min="4" max="4" width="20.7109375" style="1" customWidth="1"/>
    <col min="5" max="5" width="10.5703125" style="1" bestFit="1" customWidth="1"/>
    <col min="6" max="6" width="38.140625" style="1" bestFit="1" customWidth="1"/>
    <col min="7" max="7" width="38.28515625" style="1" customWidth="1"/>
    <col min="8" max="8" width="20.42578125" style="1" bestFit="1" customWidth="1"/>
    <col min="9" max="9" width="7.42578125" style="1" customWidth="1"/>
    <col min="10" max="10" width="23" style="1" bestFit="1" customWidth="1"/>
    <col min="11" max="11" width="22.5703125" style="1" bestFit="1" customWidth="1"/>
    <col min="12" max="12" width="7" style="1" bestFit="1" customWidth="1"/>
    <col min="13" max="13" width="9" style="1" bestFit="1" customWidth="1"/>
    <col min="14" max="14" width="12" style="1" customWidth="1"/>
    <col min="15" max="15" width="23" style="1" bestFit="1" customWidth="1"/>
    <col min="16" max="16" width="21.5703125" style="1" bestFit="1" customWidth="1"/>
    <col min="17" max="17" width="20.28515625" style="1" bestFit="1" customWidth="1"/>
    <col min="18" max="18" width="8.28515625" style="1" bestFit="1" customWidth="1"/>
    <col min="19" max="19" width="6.7109375" style="1" bestFit="1" customWidth="1"/>
    <col min="20" max="20" width="14.28515625" style="1" bestFit="1" customWidth="1"/>
    <col min="21" max="21" width="9.140625" style="1"/>
    <col min="22" max="22" width="26" style="1" customWidth="1"/>
    <col min="23" max="23" width="8.28515625" style="1" bestFit="1" customWidth="1"/>
    <col min="24" max="24" width="23" style="1" bestFit="1" customWidth="1"/>
    <col min="25" max="25" width="21.5703125" style="1" bestFit="1" customWidth="1"/>
    <col min="26" max="26" width="15.85546875" style="1" bestFit="1" customWidth="1"/>
    <col min="27" max="27" width="13.7109375" style="1" bestFit="1" customWidth="1"/>
    <col min="28" max="28" width="9.5703125" style="1" bestFit="1" customWidth="1"/>
    <col min="29" max="29" width="20.140625" style="1" customWidth="1"/>
    <col min="30" max="30" width="19.7109375" style="1" bestFit="1" customWidth="1"/>
    <col min="31" max="31" width="13.5703125" style="1" bestFit="1" customWidth="1"/>
    <col min="32" max="32" width="12" style="1" bestFit="1" customWidth="1"/>
    <col min="33" max="33" width="18" style="1" customWidth="1"/>
    <col min="34" max="34" width="15.5703125" style="1" bestFit="1" customWidth="1"/>
    <col min="35" max="35" width="12.85546875" style="1" bestFit="1" customWidth="1"/>
    <col min="36" max="38" width="9.140625" style="1"/>
    <col min="39" max="39" width="11" style="1" bestFit="1" customWidth="1"/>
    <col min="40" max="40" width="12.28515625" style="1" bestFit="1" customWidth="1"/>
    <col min="41" max="41" width="27.42578125" style="1" bestFit="1" customWidth="1"/>
    <col min="42" max="42" width="27.140625" style="1" bestFit="1" customWidth="1"/>
    <col min="43" max="43" width="11" style="1" customWidth="1"/>
    <col min="44" max="16384" width="9.140625" style="1"/>
  </cols>
  <sheetData>
    <row r="1" spans="2:43" ht="43.9" customHeight="1" x14ac:dyDescent="0.3">
      <c r="B1" s="15" t="s">
        <v>3</v>
      </c>
      <c r="C1" s="15"/>
      <c r="D1" s="15"/>
      <c r="E1" s="15"/>
      <c r="F1" s="15"/>
      <c r="H1" s="15" t="s">
        <v>4</v>
      </c>
      <c r="I1" s="15"/>
      <c r="J1" s="15"/>
      <c r="K1" s="15"/>
      <c r="L1" s="15"/>
      <c r="M1" s="15"/>
      <c r="O1" s="15" t="s">
        <v>5</v>
      </c>
      <c r="P1" s="15"/>
      <c r="Q1" s="15"/>
      <c r="R1" s="15"/>
      <c r="S1" s="15"/>
      <c r="T1" s="15"/>
      <c r="U1" s="15"/>
      <c r="W1" s="16" t="s">
        <v>6</v>
      </c>
      <c r="X1" s="16"/>
      <c r="Y1" s="16"/>
      <c r="Z1" s="16"/>
      <c r="AA1" s="16"/>
      <c r="AB1" s="16"/>
      <c r="AD1" s="17" t="s">
        <v>12</v>
      </c>
      <c r="AE1" s="17"/>
      <c r="AF1" s="17"/>
      <c r="AH1" s="14" t="s">
        <v>13</v>
      </c>
      <c r="AI1" s="14"/>
      <c r="AM1" s="15" t="s">
        <v>17</v>
      </c>
      <c r="AN1" s="15"/>
      <c r="AO1" s="15"/>
      <c r="AP1" s="15"/>
      <c r="AQ1" s="15"/>
    </row>
    <row r="2" spans="2:43" x14ac:dyDescent="0.3">
      <c r="B2" s="1" t="s">
        <v>1</v>
      </c>
      <c r="C2" s="1" t="s">
        <v>47</v>
      </c>
      <c r="D2" s="1" t="s">
        <v>45</v>
      </c>
      <c r="E2" s="1" t="s">
        <v>56</v>
      </c>
      <c r="F2" s="1" t="s">
        <v>44</v>
      </c>
      <c r="H2" s="1" t="s">
        <v>1</v>
      </c>
      <c r="I2" s="1" t="s">
        <v>47</v>
      </c>
      <c r="J2" s="1" t="s">
        <v>0</v>
      </c>
      <c r="K2" s="1" t="s">
        <v>45</v>
      </c>
      <c r="L2" s="1" t="s">
        <v>7</v>
      </c>
      <c r="M2" s="1" t="s">
        <v>8</v>
      </c>
      <c r="O2" s="1" t="s">
        <v>0</v>
      </c>
      <c r="P2" s="1" t="s">
        <v>50</v>
      </c>
      <c r="Q2" s="1" t="s">
        <v>45</v>
      </c>
      <c r="R2" s="1" t="s">
        <v>47</v>
      </c>
      <c r="S2" s="1" t="s">
        <v>7</v>
      </c>
      <c r="T2" s="1" t="s">
        <v>48</v>
      </c>
      <c r="U2" s="1" t="s">
        <v>8</v>
      </c>
      <c r="W2" s="1" t="s">
        <v>47</v>
      </c>
      <c r="X2" s="1" t="s">
        <v>0</v>
      </c>
      <c r="Y2" s="1" t="s">
        <v>2</v>
      </c>
      <c r="Z2" s="1" t="s">
        <v>49</v>
      </c>
      <c r="AA2" s="1" t="s">
        <v>45</v>
      </c>
      <c r="AB2" s="1" t="s">
        <v>8</v>
      </c>
      <c r="AD2" s="1" t="s">
        <v>9</v>
      </c>
      <c r="AE2" s="1" t="s">
        <v>46</v>
      </c>
      <c r="AF2" s="1" t="s">
        <v>11</v>
      </c>
      <c r="AH2" s="1" t="s">
        <v>10</v>
      </c>
      <c r="AI2" s="1" t="s">
        <v>46</v>
      </c>
      <c r="AM2" s="1" t="s">
        <v>8</v>
      </c>
      <c r="AN2" s="1" t="s">
        <v>23</v>
      </c>
      <c r="AO2" s="1" t="s">
        <v>14</v>
      </c>
      <c r="AP2" s="1" t="s">
        <v>15</v>
      </c>
      <c r="AQ2" s="1" t="s">
        <v>16</v>
      </c>
    </row>
    <row r="3" spans="2:43" x14ac:dyDescent="0.3">
      <c r="B3" s="1" t="s">
        <v>123</v>
      </c>
      <c r="C3" s="1">
        <v>1</v>
      </c>
      <c r="D3" s="1" t="str">
        <f>SUBSTITUTE(CbgIiWorkbooks[[#This Row],[Workbook]], " ", "")</f>
        <v>MasterTasklistCompiler</v>
      </c>
      <c r="E3" s="1" t="s">
        <v>124</v>
      </c>
      <c r="F3" s="1" t="s">
        <v>125</v>
      </c>
      <c r="H3" s="1" t="s">
        <v>123</v>
      </c>
      <c r="I3" s="1">
        <v>1</v>
      </c>
      <c r="J3" s="1" t="s">
        <v>51</v>
      </c>
      <c r="K3" s="1" t="str">
        <f>SUBSTITUTE(CbgIiWorksheets[[#This Row],[Worksheet]], " ", "")</f>
        <v>CoverPage</v>
      </c>
      <c r="L3" s="1" t="s">
        <v>103</v>
      </c>
      <c r="M3" s="1" t="s">
        <v>54</v>
      </c>
      <c r="O3" s="1" t="s">
        <v>51</v>
      </c>
      <c r="P3" s="1" t="s">
        <v>131</v>
      </c>
      <c r="Q3" s="1" t="str">
        <f>SUBSTITUTE(CbgIiTables[[#This Row],[Table Name]], " ", "")</f>
        <v>TasklistDirectory</v>
      </c>
      <c r="R3" s="1">
        <v>1</v>
      </c>
      <c r="S3" s="1" t="s">
        <v>135</v>
      </c>
      <c r="T3" s="1">
        <v>2</v>
      </c>
      <c r="U3" s="1" t="s">
        <v>54</v>
      </c>
      <c r="W3" s="1">
        <v>1</v>
      </c>
      <c r="X3" s="1" t="s">
        <v>127</v>
      </c>
      <c r="Y3" s="1" t="s">
        <v>136</v>
      </c>
      <c r="Z3" s="1" t="s">
        <v>153</v>
      </c>
      <c r="AA3" s="1" t="str">
        <f>SUBSTITUTE(CbgIiColumns[[#This Row],[Name]], " ", "")</f>
        <v>DirectoryNumber</v>
      </c>
      <c r="AB3" s="1" t="s">
        <v>54</v>
      </c>
      <c r="AD3" s="1" t="s">
        <v>159</v>
      </c>
      <c r="AE3" s="1" t="s">
        <v>18</v>
      </c>
      <c r="AF3" s="1" t="s">
        <v>159</v>
      </c>
      <c r="AM3" s="1" t="s">
        <v>19</v>
      </c>
      <c r="AQ3" s="1">
        <v>2</v>
      </c>
    </row>
    <row r="4" spans="2:43" x14ac:dyDescent="0.3">
      <c r="D4" s="1" t="str">
        <f>SUBSTITUTE(CbgIiWorkbooks[[#This Row],[Workbook]], " ", "")</f>
        <v/>
      </c>
      <c r="H4" s="1" t="s">
        <v>123</v>
      </c>
      <c r="I4" s="1">
        <v>2</v>
      </c>
      <c r="J4" s="1" t="s">
        <v>126</v>
      </c>
      <c r="K4" s="1" t="str">
        <f>SUBSTITUTE(CbgIiWorksheets[[#This Row],[Worksheet]], " ", "")</f>
        <v>TasklistInputs</v>
      </c>
      <c r="L4" s="1" t="s">
        <v>104</v>
      </c>
      <c r="M4" s="1" t="s">
        <v>54</v>
      </c>
      <c r="O4" s="1" t="s">
        <v>126</v>
      </c>
      <c r="P4" s="1" t="s">
        <v>55</v>
      </c>
      <c r="Q4" s="1" t="str">
        <f>SUBSTITUTE(CbgIiTables[[#This Row],[Table Name]], " ", "")</f>
        <v>UploadInterface</v>
      </c>
      <c r="R4" s="1">
        <v>1</v>
      </c>
      <c r="S4" s="1" t="s">
        <v>134</v>
      </c>
      <c r="T4" s="1">
        <v>2</v>
      </c>
      <c r="U4" s="1" t="s">
        <v>54</v>
      </c>
      <c r="W4" s="1">
        <v>2</v>
      </c>
      <c r="X4" s="1" t="s">
        <v>127</v>
      </c>
      <c r="Y4" s="1" t="s">
        <v>136</v>
      </c>
      <c r="Z4" s="1" t="s">
        <v>154</v>
      </c>
      <c r="AA4" s="1" t="str">
        <f>SUBSTITUTE(CbgIiColumns[[#This Row],[Name]], " ", "")</f>
        <v>GenerationNumber</v>
      </c>
      <c r="AB4" s="1" t="s">
        <v>54</v>
      </c>
      <c r="AD4" s="1" t="s">
        <v>160</v>
      </c>
      <c r="AE4" s="1" t="s">
        <v>18</v>
      </c>
      <c r="AF4" s="1" t="s">
        <v>160</v>
      </c>
      <c r="AM4" s="1" t="s">
        <v>21</v>
      </c>
      <c r="AN4" s="1" t="s">
        <v>24</v>
      </c>
      <c r="AO4" s="2">
        <v>0</v>
      </c>
      <c r="AP4" s="2">
        <v>255</v>
      </c>
      <c r="AQ4" s="1">
        <v>1</v>
      </c>
    </row>
    <row r="5" spans="2:43" x14ac:dyDescent="0.3">
      <c r="D5" s="1" t="str">
        <f>SUBSTITUTE(CbgIiWorkbooks[[#This Row],[Workbook]], " ", "")</f>
        <v/>
      </c>
      <c r="H5" s="1" t="s">
        <v>123</v>
      </c>
      <c r="I5" s="1">
        <v>3</v>
      </c>
      <c r="J5" s="1" t="s">
        <v>127</v>
      </c>
      <c r="K5" s="1" t="str">
        <f>SUBSTITUTE(CbgIiWorksheets[[#This Row],[Worksheet]], " ", "")</f>
        <v>CompiledLists</v>
      </c>
      <c r="L5" s="1" t="s">
        <v>128</v>
      </c>
      <c r="M5" s="1" t="s">
        <v>54</v>
      </c>
      <c r="O5" s="1" t="s">
        <v>127</v>
      </c>
      <c r="P5" s="1" t="s">
        <v>136</v>
      </c>
      <c r="Q5" s="1" t="str">
        <f>SUBSTITUTE(CbgIiTables[[#This Row],[Table Name]], " ", "")</f>
        <v>ActiveTasklist</v>
      </c>
      <c r="R5" s="1">
        <v>1</v>
      </c>
      <c r="S5" s="1" t="s">
        <v>132</v>
      </c>
      <c r="T5" s="1">
        <v>2</v>
      </c>
      <c r="U5" s="1" t="s">
        <v>54</v>
      </c>
      <c r="W5" s="1">
        <v>3</v>
      </c>
      <c r="X5" s="1" t="s">
        <v>127</v>
      </c>
      <c r="Y5" s="1" t="s">
        <v>136</v>
      </c>
      <c r="Z5" s="1" t="s">
        <v>155</v>
      </c>
      <c r="AA5" s="1" t="str">
        <f>SUBSTITUTE(CbgIiColumns[[#This Row],[Name]], " ", "")</f>
        <v>TaskID</v>
      </c>
      <c r="AB5" s="1" t="s">
        <v>54</v>
      </c>
      <c r="AD5" s="1" t="s">
        <v>161</v>
      </c>
      <c r="AE5" s="1" t="s">
        <v>18</v>
      </c>
      <c r="AF5" s="1" t="s">
        <v>161</v>
      </c>
      <c r="AM5" s="1" t="s">
        <v>25</v>
      </c>
      <c r="AN5" s="1" t="s">
        <v>26</v>
      </c>
      <c r="AO5" s="2" t="s">
        <v>26</v>
      </c>
      <c r="AP5" s="2" t="s">
        <v>26</v>
      </c>
      <c r="AQ5" s="1" t="s">
        <v>26</v>
      </c>
    </row>
    <row r="6" spans="2:43" x14ac:dyDescent="0.3">
      <c r="D6" s="1" t="str">
        <f>SUBSTITUTE(CbgIiWorkbooks[[#This Row],[Workbook]], " ", "")</f>
        <v/>
      </c>
      <c r="H6" s="1" t="s">
        <v>123</v>
      </c>
      <c r="I6" s="1">
        <v>4</v>
      </c>
      <c r="J6" s="1" t="s">
        <v>164</v>
      </c>
      <c r="K6" s="1" t="str">
        <f>SUBSTITUTE(CbgIiWorksheets[[#This Row],[Worksheet]], " ", "")</f>
        <v>SelectedDirectory</v>
      </c>
      <c r="L6" s="1" t="s">
        <v>129</v>
      </c>
      <c r="M6" s="1" t="s">
        <v>130</v>
      </c>
      <c r="O6" s="1" t="s">
        <v>164</v>
      </c>
      <c r="P6" s="1" t="s">
        <v>163</v>
      </c>
      <c r="Q6" s="1" t="str">
        <f>SUBSTITUTE(CbgIiTables[[#This Row],[Table Name]], " ", "")</f>
        <v>SelectedTasklist</v>
      </c>
      <c r="R6" s="1">
        <v>1</v>
      </c>
      <c r="S6" s="1" t="s">
        <v>133</v>
      </c>
      <c r="T6" s="1">
        <v>2</v>
      </c>
      <c r="U6" s="1" t="s">
        <v>130</v>
      </c>
      <c r="W6" s="1">
        <v>4</v>
      </c>
      <c r="X6" s="1" t="s">
        <v>127</v>
      </c>
      <c r="Y6" s="1" t="s">
        <v>136</v>
      </c>
      <c r="Z6" s="1" t="s">
        <v>148</v>
      </c>
      <c r="AA6" s="1" t="str">
        <f>SUBSTITUTE(CbgIiColumns[[#This Row],[Name]], " ", "")</f>
        <v>Task</v>
      </c>
      <c r="AB6" s="1" t="s">
        <v>54</v>
      </c>
      <c r="AD6" s="1" t="s">
        <v>162</v>
      </c>
      <c r="AE6" s="1" t="s">
        <v>18</v>
      </c>
      <c r="AF6" s="1" t="s">
        <v>162</v>
      </c>
      <c r="AM6" s="1" t="s">
        <v>27</v>
      </c>
      <c r="AN6" s="1" t="s">
        <v>28</v>
      </c>
      <c r="AO6" s="3">
        <v>-922337203685477</v>
      </c>
      <c r="AP6" s="3">
        <v>22337203685477.5</v>
      </c>
      <c r="AQ6" s="1">
        <v>8</v>
      </c>
    </row>
    <row r="7" spans="2:43" x14ac:dyDescent="0.3">
      <c r="D7" s="1" t="str">
        <f>SUBSTITUTE(CbgIiWorkbooks[[#This Row],[Workbook]], " ", "")</f>
        <v/>
      </c>
      <c r="K7" s="1" t="str">
        <f>SUBSTITUTE(CbgIiWorksheets[[#This Row],[Worksheet]], " ", "")</f>
        <v/>
      </c>
      <c r="O7" s="1" t="s">
        <v>127</v>
      </c>
      <c r="P7" s="1" t="s">
        <v>137</v>
      </c>
      <c r="Q7" s="1" t="str">
        <f>SUBSTITUTE(CbgIiTables[[#This Row],[Table Name]], " ", "")</f>
        <v>StandbyTasklist</v>
      </c>
      <c r="R7" s="1">
        <v>2</v>
      </c>
      <c r="S7" s="1" t="s">
        <v>133</v>
      </c>
      <c r="T7" s="1">
        <v>2</v>
      </c>
      <c r="U7" s="1" t="s">
        <v>54</v>
      </c>
      <c r="W7" s="1">
        <v>5</v>
      </c>
      <c r="X7" s="1" t="s">
        <v>127</v>
      </c>
      <c r="Y7" s="1" t="s">
        <v>136</v>
      </c>
      <c r="Z7" s="1" t="s">
        <v>156</v>
      </c>
      <c r="AA7" s="1" t="str">
        <f>SUBSTITUTE(CbgIiColumns[[#This Row],[Name]], " ", "")</f>
        <v>Created</v>
      </c>
      <c r="AB7" s="1" t="s">
        <v>54</v>
      </c>
      <c r="AM7" s="1" t="s">
        <v>29</v>
      </c>
      <c r="AO7" s="4" t="s">
        <v>30</v>
      </c>
      <c r="AP7" s="4">
        <v>2958465</v>
      </c>
      <c r="AQ7" s="1">
        <v>8</v>
      </c>
    </row>
    <row r="8" spans="2:43" x14ac:dyDescent="0.3">
      <c r="D8" s="1" t="str">
        <f>SUBSTITUTE(CbgIiWorkbooks[[#This Row],[Workbook]], " ", "")</f>
        <v/>
      </c>
      <c r="K8" s="1" t="str">
        <f>SUBSTITUTE(CbgIiWorksheets[[#This Row],[Worksheet]], " ", "")</f>
        <v/>
      </c>
      <c r="O8" s="1" t="s">
        <v>127</v>
      </c>
      <c r="P8" s="1" t="s">
        <v>138</v>
      </c>
      <c r="Q8" s="1" t="str">
        <f>SUBSTITUTE(CbgIiTables[[#This Row],[Table Name]], " ", "")</f>
        <v>TerminatedTasklist</v>
      </c>
      <c r="R8" s="1">
        <v>3</v>
      </c>
      <c r="S8" s="1" t="s">
        <v>140</v>
      </c>
      <c r="T8" s="1">
        <v>2</v>
      </c>
      <c r="U8" s="1" t="s">
        <v>54</v>
      </c>
      <c r="W8" s="1">
        <v>6</v>
      </c>
      <c r="X8" s="1" t="s">
        <v>127</v>
      </c>
      <c r="Y8" s="1" t="s">
        <v>136</v>
      </c>
      <c r="Z8" s="1" t="s">
        <v>149</v>
      </c>
      <c r="AA8" s="1" t="str">
        <f>SUBSTITUTE(CbgIiColumns[[#This Row],[Name]], " ", "")</f>
        <v>DueDate</v>
      </c>
      <c r="AB8" s="1" t="s">
        <v>54</v>
      </c>
      <c r="AM8" s="1" t="s">
        <v>31</v>
      </c>
      <c r="AN8" s="1" t="s">
        <v>26</v>
      </c>
      <c r="AO8" s="2" t="s">
        <v>26</v>
      </c>
      <c r="AP8" s="2" t="s">
        <v>26</v>
      </c>
      <c r="AQ8" s="1" t="s">
        <v>26</v>
      </c>
    </row>
    <row r="9" spans="2:43" x14ac:dyDescent="0.3">
      <c r="D9" s="1" t="str">
        <f>SUBSTITUTE(CbgIiWorkbooks[[#This Row],[Workbook]], " ", "")</f>
        <v/>
      </c>
      <c r="K9" s="1" t="str">
        <f>SUBSTITUTE(CbgIiWorksheets[[#This Row],[Worksheet]], " ", "")</f>
        <v/>
      </c>
      <c r="O9" s="1" t="s">
        <v>127</v>
      </c>
      <c r="P9" s="1" t="s">
        <v>139</v>
      </c>
      <c r="Q9" s="1" t="str">
        <f>SUBSTITUTE(CbgIiTables[[#This Row],[Table Name]], " ", "")</f>
        <v>CompletedTasklist</v>
      </c>
      <c r="R9" s="1">
        <v>4</v>
      </c>
      <c r="S9" s="1" t="s">
        <v>141</v>
      </c>
      <c r="T9" s="1">
        <v>2</v>
      </c>
      <c r="U9" s="1" t="s">
        <v>54</v>
      </c>
      <c r="W9" s="1">
        <v>7</v>
      </c>
      <c r="X9" s="1" t="s">
        <v>127</v>
      </c>
      <c r="Y9" s="1" t="s">
        <v>136</v>
      </c>
      <c r="Z9" s="1" t="s">
        <v>150</v>
      </c>
      <c r="AA9" s="1" t="str">
        <f>SUBSTITUTE(CbgIiColumns[[#This Row],[Name]], " ", "")</f>
        <v>Importance</v>
      </c>
      <c r="AB9" s="1" t="s">
        <v>54</v>
      </c>
      <c r="AM9" s="1" t="s">
        <v>20</v>
      </c>
      <c r="AN9" s="1" t="s">
        <v>24</v>
      </c>
      <c r="AO9" s="2">
        <v>-32768</v>
      </c>
      <c r="AP9" s="2">
        <v>32767</v>
      </c>
      <c r="AQ9" s="1">
        <v>2</v>
      </c>
    </row>
    <row r="10" spans="2:43" x14ac:dyDescent="0.3">
      <c r="D10" s="1" t="str">
        <f>SUBSTITUTE(CbgIiWorkbooks[[#This Row],[Workbook]], " ", "")</f>
        <v/>
      </c>
      <c r="K10" s="1" t="str">
        <f>SUBSTITUTE(CbgIiWorksheets[[#This Row],[Worksheet]], " ", "")</f>
        <v/>
      </c>
      <c r="Q10" s="1" t="str">
        <f>SUBSTITUTE(CbgIiTables[[#This Row],[Table Name]], " ", "")</f>
        <v/>
      </c>
      <c r="W10" s="1">
        <v>8</v>
      </c>
      <c r="X10" s="1" t="s">
        <v>127</v>
      </c>
      <c r="Y10" s="1" t="s">
        <v>136</v>
      </c>
      <c r="Z10" s="1" t="s">
        <v>152</v>
      </c>
      <c r="AA10" s="1" t="str">
        <f>SUBSTITUTE(CbgIiColumns[[#This Row],[Name]], " ", "")</f>
        <v>Difficulty</v>
      </c>
      <c r="AB10" s="1" t="s">
        <v>54</v>
      </c>
      <c r="AM10" s="1" t="s">
        <v>22</v>
      </c>
      <c r="AN10" s="1" t="s">
        <v>24</v>
      </c>
      <c r="AO10" s="5">
        <v>-2147483648</v>
      </c>
      <c r="AP10" s="5">
        <v>2147483647</v>
      </c>
      <c r="AQ10" s="1">
        <v>4</v>
      </c>
    </row>
    <row r="11" spans="2:43" x14ac:dyDescent="0.3">
      <c r="D11" s="1" t="str">
        <f>SUBSTITUTE(CbgIiWorkbooks[[#This Row],[Workbook]], " ", "")</f>
        <v/>
      </c>
      <c r="K11" s="1" t="str">
        <f>SUBSTITUTE(CbgIiWorksheets[[#This Row],[Worksheet]], " ", "")</f>
        <v/>
      </c>
      <c r="Q11" s="1" t="str">
        <f>SUBSTITUTE(CbgIiTables[[#This Row],[Table Name]], " ", "")</f>
        <v/>
      </c>
      <c r="W11" s="1">
        <v>9</v>
      </c>
      <c r="X11" s="1" t="s">
        <v>127</v>
      </c>
      <c r="Y11" s="1" t="s">
        <v>136</v>
      </c>
      <c r="Z11" s="1" t="s">
        <v>151</v>
      </c>
      <c r="AA11" s="1" t="str">
        <f>SUBSTITUTE(CbgIiColumns[[#This Row],[Name]], " ", "")</f>
        <v>Urgency</v>
      </c>
      <c r="AB11" s="1" t="s">
        <v>54</v>
      </c>
      <c r="AM11" s="1" t="s">
        <v>32</v>
      </c>
      <c r="AN11" s="1" t="s">
        <v>24</v>
      </c>
      <c r="AO11" s="5">
        <v>-9.2233720368547697E+18</v>
      </c>
      <c r="AP11" s="5">
        <v>9.2233720368547697E+18</v>
      </c>
      <c r="AQ11" s="1">
        <v>8</v>
      </c>
    </row>
    <row r="12" spans="2:43" x14ac:dyDescent="0.3">
      <c r="D12" s="1" t="str">
        <f>SUBSTITUTE(CbgIiWorkbooks[[#This Row],[Workbook]], " ", "")</f>
        <v/>
      </c>
      <c r="K12" s="1" t="str">
        <f>SUBSTITUTE(CbgIiWorksheets[[#This Row],[Worksheet]], " ", "")</f>
        <v/>
      </c>
      <c r="Q12" s="1" t="str">
        <f>SUBSTITUTE(CbgIiTables[[#This Row],[Table Name]], " ", "")</f>
        <v/>
      </c>
      <c r="W12" s="1">
        <v>10</v>
      </c>
      <c r="X12" s="1" t="s">
        <v>127</v>
      </c>
      <c r="Y12" s="1" t="s">
        <v>136</v>
      </c>
      <c r="Z12" s="1" t="s">
        <v>157</v>
      </c>
      <c r="AA12" s="1" t="str">
        <f>SUBSTITUTE(CbgIiColumns[[#This Row],[Name]], " ", "")</f>
        <v>MomentumIndex</v>
      </c>
      <c r="AB12" s="1" t="s">
        <v>54</v>
      </c>
      <c r="AM12" s="1" t="s">
        <v>33</v>
      </c>
      <c r="AN12" s="1" t="s">
        <v>34</v>
      </c>
      <c r="AO12" s="2" t="s">
        <v>35</v>
      </c>
      <c r="AP12" s="2" t="s">
        <v>35</v>
      </c>
      <c r="AQ12" s="1">
        <v>4</v>
      </c>
    </row>
    <row r="13" spans="2:43" x14ac:dyDescent="0.3">
      <c r="D13" s="1" t="str">
        <f>SUBSTITUTE(CbgIiWorkbooks[[#This Row],[Workbook]], " ", "")</f>
        <v/>
      </c>
      <c r="K13" s="1" t="str">
        <f>SUBSTITUTE(CbgIiWorksheets[[#This Row],[Worksheet]], " ", "")</f>
        <v/>
      </c>
      <c r="Q13" s="1" t="str">
        <f>SUBSTITUTE(CbgIiTables[[#This Row],[Table Name]], " ", "")</f>
        <v/>
      </c>
      <c r="W13" s="1">
        <v>11</v>
      </c>
      <c r="X13" s="1" t="s">
        <v>127</v>
      </c>
      <c r="Y13" s="1" t="s">
        <v>136</v>
      </c>
      <c r="Z13" s="1" t="s">
        <v>158</v>
      </c>
      <c r="AA13" s="1" t="str">
        <f>SUBSTITUTE(CbgIiColumns[[#This Row],[Name]], " ", "")</f>
        <v>AvalancheIndex</v>
      </c>
      <c r="AB13" s="1" t="s">
        <v>54</v>
      </c>
      <c r="AM13" s="1" t="s">
        <v>36</v>
      </c>
      <c r="AN13" s="1" t="s">
        <v>37</v>
      </c>
      <c r="AO13" s="2" t="s">
        <v>38</v>
      </c>
      <c r="AP13" s="6">
        <v>3.4028229999999999E+38</v>
      </c>
      <c r="AQ13" s="1">
        <v>4</v>
      </c>
    </row>
    <row r="14" spans="2:43" x14ac:dyDescent="0.3">
      <c r="D14" s="1" t="str">
        <f>SUBSTITUTE(CbgIiWorkbooks[[#This Row],[Workbook]], " ", "")</f>
        <v/>
      </c>
      <c r="K14" s="1" t="str">
        <f>SUBSTITUTE(CbgIiWorksheets[[#This Row],[Worksheet]], " ", "")</f>
        <v/>
      </c>
      <c r="Q14" s="1" t="str">
        <f>SUBSTITUTE(CbgIiTables[[#This Row],[Table Name]], " ", "")</f>
        <v/>
      </c>
      <c r="W14" s="1">
        <v>12</v>
      </c>
      <c r="X14" s="1" t="s">
        <v>127</v>
      </c>
      <c r="Y14" s="1" t="s">
        <v>136</v>
      </c>
      <c r="Z14" s="1" t="s">
        <v>53</v>
      </c>
      <c r="AA14" s="1" t="str">
        <f>SUBSTITUTE(CbgIiColumns[[#This Row],[Name]], " ", "")</f>
        <v>Status</v>
      </c>
      <c r="AB14" s="1" t="s">
        <v>54</v>
      </c>
      <c r="AM14" s="1" t="s">
        <v>18</v>
      </c>
      <c r="AN14" s="1" t="s">
        <v>42</v>
      </c>
      <c r="AO14" s="2" t="s">
        <v>40</v>
      </c>
      <c r="AP14" s="2" t="s">
        <v>40</v>
      </c>
      <c r="AQ14" s="1" t="s">
        <v>39</v>
      </c>
    </row>
    <row r="15" spans="2:43" x14ac:dyDescent="0.3">
      <c r="D15" s="1" t="str">
        <f>SUBSTITUTE(CbgIiWorkbooks[[#This Row],[Workbook]], " ", "")</f>
        <v/>
      </c>
      <c r="K15" s="1" t="str">
        <f>SUBSTITUTE(CbgIiWorksheets[[#This Row],[Worksheet]], " ", "")</f>
        <v/>
      </c>
      <c r="Q15" s="1" t="str">
        <f>SUBSTITUTE(CbgIiTables[[#This Row],[Table Name]], " ", "")</f>
        <v/>
      </c>
      <c r="W15" s="1">
        <v>13</v>
      </c>
      <c r="X15" s="1" t="s">
        <v>127</v>
      </c>
      <c r="Y15" s="1" t="s">
        <v>136</v>
      </c>
      <c r="Z15" s="1" t="s">
        <v>52</v>
      </c>
      <c r="AA15" s="1" t="str">
        <f>SUBSTITUTE(CbgIiColumns[[#This Row],[Name]], " ", "")</f>
        <v>Updated</v>
      </c>
      <c r="AB15" s="1" t="s">
        <v>54</v>
      </c>
      <c r="AM15" s="1" t="s">
        <v>41</v>
      </c>
      <c r="AN15" s="1" t="s">
        <v>42</v>
      </c>
      <c r="AO15" s="2" t="s">
        <v>40</v>
      </c>
      <c r="AP15" s="2" t="s">
        <v>40</v>
      </c>
      <c r="AQ15" s="1" t="s">
        <v>43</v>
      </c>
    </row>
    <row r="16" spans="2:43" x14ac:dyDescent="0.3">
      <c r="D16" s="1" t="str">
        <f>SUBSTITUTE(CbgIiWorkbooks[[#This Row],[Workbook]], " ", "")</f>
        <v/>
      </c>
      <c r="K16" s="1" t="str">
        <f>SUBSTITUTE(CbgIiWorksheets[[#This Row],[Worksheet]], " ", "")</f>
        <v/>
      </c>
      <c r="Q16" s="1" t="str">
        <f>SUBSTITUTE(CbgIiTables[[#This Row],[Table Name]], " ", "")</f>
        <v/>
      </c>
      <c r="W16" s="1">
        <v>1</v>
      </c>
      <c r="X16" s="1" t="s">
        <v>127</v>
      </c>
      <c r="Y16" s="1" t="s">
        <v>139</v>
      </c>
      <c r="Z16" s="1" t="s">
        <v>153</v>
      </c>
      <c r="AA16" s="1" t="str">
        <f>SUBSTITUTE(CbgIiColumns[[#This Row],[Name]], " ", "")</f>
        <v>DirectoryNumber</v>
      </c>
      <c r="AB16" s="1" t="s">
        <v>54</v>
      </c>
    </row>
    <row r="17" spans="4:28" x14ac:dyDescent="0.3">
      <c r="D17" s="1" t="str">
        <f>SUBSTITUTE(CbgIiWorkbooks[[#This Row],[Workbook]], " ", "")</f>
        <v/>
      </c>
      <c r="K17" s="1" t="str">
        <f>SUBSTITUTE(CbgIiWorksheets[[#This Row],[Worksheet]], " ", "")</f>
        <v/>
      </c>
      <c r="Q17" s="1" t="str">
        <f>SUBSTITUTE(CbgIiTables[[#This Row],[Table Name]], " ", "")</f>
        <v/>
      </c>
      <c r="W17" s="1">
        <v>2</v>
      </c>
      <c r="X17" s="1" t="s">
        <v>127</v>
      </c>
      <c r="Y17" s="1" t="s">
        <v>139</v>
      </c>
      <c r="Z17" s="1" t="s">
        <v>154</v>
      </c>
      <c r="AA17" s="1" t="str">
        <f>SUBSTITUTE(CbgIiColumns[[#This Row],[Name]], " ", "")</f>
        <v>GenerationNumber</v>
      </c>
      <c r="AB17" s="1" t="s">
        <v>54</v>
      </c>
    </row>
    <row r="18" spans="4:28" x14ac:dyDescent="0.3">
      <c r="D18" s="1" t="str">
        <f>SUBSTITUTE(CbgIiWorkbooks[[#This Row],[Workbook]], " ", "")</f>
        <v/>
      </c>
      <c r="K18" s="1" t="str">
        <f>SUBSTITUTE(CbgIiWorksheets[[#This Row],[Worksheet]], " ", "")</f>
        <v/>
      </c>
      <c r="Q18" s="1" t="str">
        <f>SUBSTITUTE(CbgIiTables[[#This Row],[Table Name]], " ", "")</f>
        <v/>
      </c>
      <c r="W18" s="1">
        <v>3</v>
      </c>
      <c r="X18" s="1" t="s">
        <v>127</v>
      </c>
      <c r="Y18" s="1" t="s">
        <v>139</v>
      </c>
      <c r="Z18" s="1" t="s">
        <v>155</v>
      </c>
      <c r="AA18" s="1" t="str">
        <f>SUBSTITUTE(CbgIiColumns[[#This Row],[Name]], " ", "")</f>
        <v>TaskID</v>
      </c>
      <c r="AB18" s="1" t="s">
        <v>54</v>
      </c>
    </row>
    <row r="19" spans="4:28" x14ac:dyDescent="0.3">
      <c r="D19" s="1" t="str">
        <f>SUBSTITUTE(CbgIiWorkbooks[[#This Row],[Workbook]], " ", "")</f>
        <v/>
      </c>
      <c r="K19" s="1" t="str">
        <f>SUBSTITUTE(CbgIiWorksheets[[#This Row],[Worksheet]], " ", "")</f>
        <v/>
      </c>
      <c r="Q19" s="1" t="str">
        <f>SUBSTITUTE(CbgIiTables[[#This Row],[Table Name]], " ", "")</f>
        <v/>
      </c>
      <c r="W19" s="1">
        <v>4</v>
      </c>
      <c r="X19" s="1" t="s">
        <v>127</v>
      </c>
      <c r="Y19" s="1" t="s">
        <v>139</v>
      </c>
      <c r="Z19" s="1" t="s">
        <v>148</v>
      </c>
      <c r="AA19" s="1" t="str">
        <f>SUBSTITUTE(CbgIiColumns[[#This Row],[Name]], " ", "")</f>
        <v>Task</v>
      </c>
      <c r="AB19" s="1" t="s">
        <v>54</v>
      </c>
    </row>
    <row r="20" spans="4:28" x14ac:dyDescent="0.3">
      <c r="D20" s="1" t="str">
        <f>SUBSTITUTE(CbgIiWorkbooks[[#This Row],[Workbook]], " ", "")</f>
        <v/>
      </c>
      <c r="K20" s="1" t="str">
        <f>SUBSTITUTE(CbgIiWorksheets[[#This Row],[Worksheet]], " ", "")</f>
        <v/>
      </c>
      <c r="Q20" s="1" t="str">
        <f>SUBSTITUTE(CbgIiTables[[#This Row],[Table Name]], " ", "")</f>
        <v/>
      </c>
      <c r="W20" s="1">
        <v>5</v>
      </c>
      <c r="X20" s="1" t="s">
        <v>127</v>
      </c>
      <c r="Y20" s="1" t="s">
        <v>139</v>
      </c>
      <c r="Z20" s="1" t="s">
        <v>156</v>
      </c>
      <c r="AA20" s="1" t="str">
        <f>SUBSTITUTE(CbgIiColumns[[#This Row],[Name]], " ", "")</f>
        <v>Created</v>
      </c>
      <c r="AB20" s="1" t="s">
        <v>54</v>
      </c>
    </row>
    <row r="21" spans="4:28" x14ac:dyDescent="0.3">
      <c r="D21" s="1" t="str">
        <f>SUBSTITUTE(CbgIiWorkbooks[[#This Row],[Workbook]], " ", "")</f>
        <v/>
      </c>
      <c r="K21" s="1" t="str">
        <f>SUBSTITUTE(CbgIiWorksheets[[#This Row],[Worksheet]], " ", "")</f>
        <v/>
      </c>
      <c r="Q21" s="1" t="str">
        <f>SUBSTITUTE(CbgIiTables[[#This Row],[Table Name]], " ", "")</f>
        <v/>
      </c>
      <c r="W21" s="1">
        <v>6</v>
      </c>
      <c r="X21" s="1" t="s">
        <v>127</v>
      </c>
      <c r="Y21" s="1" t="s">
        <v>139</v>
      </c>
      <c r="Z21" s="1" t="s">
        <v>149</v>
      </c>
      <c r="AA21" s="1" t="str">
        <f>SUBSTITUTE(CbgIiColumns[[#This Row],[Name]], " ", "")</f>
        <v>DueDate</v>
      </c>
      <c r="AB21" s="1" t="s">
        <v>54</v>
      </c>
    </row>
    <row r="22" spans="4:28" x14ac:dyDescent="0.3">
      <c r="D22" s="1" t="str">
        <f>SUBSTITUTE(CbgIiWorkbooks[[#This Row],[Workbook]], " ", "")</f>
        <v/>
      </c>
      <c r="K22" s="1" t="str">
        <f>SUBSTITUTE(CbgIiWorksheets[[#This Row],[Worksheet]], " ", "")</f>
        <v/>
      </c>
      <c r="Q22" s="1" t="str">
        <f>SUBSTITUTE(CbgIiTables[[#This Row],[Table Name]], " ", "")</f>
        <v/>
      </c>
      <c r="W22" s="1">
        <v>7</v>
      </c>
      <c r="X22" s="1" t="s">
        <v>127</v>
      </c>
      <c r="Y22" s="1" t="s">
        <v>139</v>
      </c>
      <c r="Z22" s="1" t="s">
        <v>150</v>
      </c>
      <c r="AA22" s="1" t="str">
        <f>SUBSTITUTE(CbgIiColumns[[#This Row],[Name]], " ", "")</f>
        <v>Importance</v>
      </c>
      <c r="AB22" s="1" t="s">
        <v>54</v>
      </c>
    </row>
    <row r="23" spans="4:28" x14ac:dyDescent="0.3">
      <c r="D23" s="1" t="str">
        <f>SUBSTITUTE(CbgIiWorkbooks[[#This Row],[Workbook]], " ", "")</f>
        <v/>
      </c>
      <c r="K23" s="1" t="str">
        <f>SUBSTITUTE(CbgIiWorksheets[[#This Row],[Worksheet]], " ", "")</f>
        <v/>
      </c>
      <c r="Q23" s="1" t="str">
        <f>SUBSTITUTE(CbgIiTables[[#This Row],[Table Name]], " ", "")</f>
        <v/>
      </c>
      <c r="W23" s="1">
        <v>8</v>
      </c>
      <c r="X23" s="1" t="s">
        <v>127</v>
      </c>
      <c r="Y23" s="1" t="s">
        <v>139</v>
      </c>
      <c r="Z23" s="1" t="s">
        <v>152</v>
      </c>
      <c r="AA23" s="1" t="str">
        <f>SUBSTITUTE(CbgIiColumns[[#This Row],[Name]], " ", "")</f>
        <v>Difficulty</v>
      </c>
      <c r="AB23" s="1" t="s">
        <v>54</v>
      </c>
    </row>
    <row r="24" spans="4:28" x14ac:dyDescent="0.3">
      <c r="D24" s="1" t="str">
        <f>SUBSTITUTE(CbgIiWorkbooks[[#This Row],[Workbook]], " ", "")</f>
        <v/>
      </c>
      <c r="K24" s="1" t="str">
        <f>SUBSTITUTE(CbgIiWorksheets[[#This Row],[Worksheet]], " ", "")</f>
        <v/>
      </c>
      <c r="Q24" s="1" t="str">
        <f>SUBSTITUTE(CbgIiTables[[#This Row],[Table Name]], " ", "")</f>
        <v/>
      </c>
      <c r="W24" s="1">
        <v>9</v>
      </c>
      <c r="X24" s="1" t="s">
        <v>127</v>
      </c>
      <c r="Y24" s="1" t="s">
        <v>139</v>
      </c>
      <c r="Z24" s="1" t="s">
        <v>151</v>
      </c>
      <c r="AA24" s="1" t="str">
        <f>SUBSTITUTE(CbgIiColumns[[#This Row],[Name]], " ", "")</f>
        <v>Urgency</v>
      </c>
      <c r="AB24" s="1" t="s">
        <v>54</v>
      </c>
    </row>
    <row r="25" spans="4:28" x14ac:dyDescent="0.3">
      <c r="D25" s="1" t="str">
        <f>SUBSTITUTE(CbgIiWorkbooks[[#This Row],[Workbook]], " ", "")</f>
        <v/>
      </c>
      <c r="K25" s="1" t="str">
        <f>SUBSTITUTE(CbgIiWorksheets[[#This Row],[Worksheet]], " ", "")</f>
        <v/>
      </c>
      <c r="Q25" s="1" t="str">
        <f>SUBSTITUTE(CbgIiTables[[#This Row],[Table Name]], " ", "")</f>
        <v/>
      </c>
      <c r="W25" s="1">
        <v>10</v>
      </c>
      <c r="X25" s="1" t="s">
        <v>127</v>
      </c>
      <c r="Y25" s="1" t="s">
        <v>139</v>
      </c>
      <c r="Z25" s="1" t="s">
        <v>157</v>
      </c>
      <c r="AA25" s="1" t="str">
        <f>SUBSTITUTE(CbgIiColumns[[#This Row],[Name]], " ", "")</f>
        <v>MomentumIndex</v>
      </c>
      <c r="AB25" s="1" t="s">
        <v>54</v>
      </c>
    </row>
    <row r="26" spans="4:28" x14ac:dyDescent="0.3">
      <c r="D26" s="1" t="str">
        <f>SUBSTITUTE(CbgIiWorkbooks[[#This Row],[Workbook]], " ", "")</f>
        <v/>
      </c>
      <c r="K26" s="1" t="str">
        <f>SUBSTITUTE(CbgIiWorksheets[[#This Row],[Worksheet]], " ", "")</f>
        <v/>
      </c>
      <c r="Q26" s="1" t="str">
        <f>SUBSTITUTE(CbgIiTables[[#This Row],[Table Name]], " ", "")</f>
        <v/>
      </c>
      <c r="W26" s="1">
        <v>11</v>
      </c>
      <c r="X26" s="1" t="s">
        <v>127</v>
      </c>
      <c r="Y26" s="1" t="s">
        <v>139</v>
      </c>
      <c r="Z26" s="1" t="s">
        <v>158</v>
      </c>
      <c r="AA26" s="1" t="str">
        <f>SUBSTITUTE(CbgIiColumns[[#This Row],[Name]], " ", "")</f>
        <v>AvalancheIndex</v>
      </c>
      <c r="AB26" s="1" t="s">
        <v>54</v>
      </c>
    </row>
    <row r="27" spans="4:28" x14ac:dyDescent="0.3">
      <c r="D27" s="1" t="str">
        <f>SUBSTITUTE(CbgIiWorkbooks[[#This Row],[Workbook]], " ", "")</f>
        <v/>
      </c>
      <c r="K27" s="1" t="str">
        <f>SUBSTITUTE(CbgIiWorksheets[[#This Row],[Worksheet]], " ", "")</f>
        <v/>
      </c>
      <c r="Q27" s="1" t="str">
        <f>SUBSTITUTE(CbgIiTables[[#This Row],[Table Name]], " ", "")</f>
        <v/>
      </c>
      <c r="W27" s="1">
        <v>12</v>
      </c>
      <c r="X27" s="1" t="s">
        <v>127</v>
      </c>
      <c r="Y27" s="1" t="s">
        <v>139</v>
      </c>
      <c r="Z27" s="1" t="s">
        <v>53</v>
      </c>
      <c r="AA27" s="1" t="str">
        <f>SUBSTITUTE(CbgIiColumns[[#This Row],[Name]], " ", "")</f>
        <v>Status</v>
      </c>
      <c r="AB27" s="1" t="s">
        <v>54</v>
      </c>
    </row>
    <row r="28" spans="4:28" x14ac:dyDescent="0.3">
      <c r="D28" s="1" t="str">
        <f>SUBSTITUTE(CbgIiWorkbooks[[#This Row],[Workbook]], " ", "")</f>
        <v/>
      </c>
      <c r="K28" s="1" t="str">
        <f>SUBSTITUTE(CbgIiWorksheets[[#This Row],[Worksheet]], " ", "")</f>
        <v/>
      </c>
      <c r="Q28" s="1" t="str">
        <f>SUBSTITUTE(CbgIiTables[[#This Row],[Table Name]], " ", "")</f>
        <v/>
      </c>
      <c r="W28" s="1">
        <v>13</v>
      </c>
      <c r="X28" s="1" t="s">
        <v>127</v>
      </c>
      <c r="Y28" s="1" t="s">
        <v>139</v>
      </c>
      <c r="Z28" s="1" t="s">
        <v>52</v>
      </c>
      <c r="AA28" s="1" t="str">
        <f>SUBSTITUTE(CbgIiColumns[[#This Row],[Name]], " ", "")</f>
        <v>Updated</v>
      </c>
      <c r="AB28" s="1" t="s">
        <v>54</v>
      </c>
    </row>
    <row r="29" spans="4:28" x14ac:dyDescent="0.3">
      <c r="D29" s="1" t="str">
        <f>SUBSTITUTE(CbgIiWorkbooks[[#This Row],[Workbook]], " ", "")</f>
        <v/>
      </c>
      <c r="K29" s="1" t="str">
        <f>SUBSTITUTE(CbgIiWorksheets[[#This Row],[Worksheet]], " ", "")</f>
        <v/>
      </c>
      <c r="Q29" s="1" t="str">
        <f>SUBSTITUTE(CbgIiTables[[#This Row],[Table Name]], " ", "")</f>
        <v/>
      </c>
      <c r="W29" s="1">
        <v>1</v>
      </c>
      <c r="X29" s="1" t="s">
        <v>127</v>
      </c>
      <c r="Y29" s="1" t="s">
        <v>137</v>
      </c>
      <c r="Z29" s="1" t="s">
        <v>153</v>
      </c>
      <c r="AA29" s="1" t="str">
        <f>SUBSTITUTE(CbgIiColumns[[#This Row],[Name]], " ", "")</f>
        <v>DirectoryNumber</v>
      </c>
      <c r="AB29" s="1" t="s">
        <v>54</v>
      </c>
    </row>
    <row r="30" spans="4:28" x14ac:dyDescent="0.3">
      <c r="D30" s="1" t="str">
        <f>SUBSTITUTE(CbgIiWorkbooks[[#This Row],[Workbook]], " ", "")</f>
        <v/>
      </c>
      <c r="K30" s="1" t="str">
        <f>SUBSTITUTE(CbgIiWorksheets[[#This Row],[Worksheet]], " ", "")</f>
        <v/>
      </c>
      <c r="Q30" s="1" t="str">
        <f>SUBSTITUTE(CbgIiTables[[#This Row],[Table Name]], " ", "")</f>
        <v/>
      </c>
      <c r="W30" s="1">
        <v>2</v>
      </c>
      <c r="X30" s="1" t="s">
        <v>127</v>
      </c>
      <c r="Y30" s="1" t="s">
        <v>137</v>
      </c>
      <c r="Z30" s="1" t="s">
        <v>154</v>
      </c>
      <c r="AA30" s="1" t="str">
        <f>SUBSTITUTE(CbgIiColumns[[#This Row],[Name]], " ", "")</f>
        <v>GenerationNumber</v>
      </c>
      <c r="AB30" s="1" t="s">
        <v>54</v>
      </c>
    </row>
    <row r="31" spans="4:28" x14ac:dyDescent="0.3">
      <c r="D31" s="1" t="str">
        <f>SUBSTITUTE(CbgIiWorkbooks[[#This Row],[Workbook]], " ", "")</f>
        <v/>
      </c>
      <c r="K31" s="1" t="str">
        <f>SUBSTITUTE(CbgIiWorksheets[[#This Row],[Worksheet]], " ", "")</f>
        <v/>
      </c>
      <c r="Q31" s="1" t="str">
        <f>SUBSTITUTE(CbgIiTables[[#This Row],[Table Name]], " ", "")</f>
        <v/>
      </c>
      <c r="W31" s="1">
        <v>3</v>
      </c>
      <c r="X31" s="1" t="s">
        <v>127</v>
      </c>
      <c r="Y31" s="1" t="s">
        <v>137</v>
      </c>
      <c r="Z31" s="1" t="s">
        <v>155</v>
      </c>
      <c r="AA31" s="1" t="str">
        <f>SUBSTITUTE(CbgIiColumns[[#This Row],[Name]], " ", "")</f>
        <v>TaskID</v>
      </c>
      <c r="AB31" s="1" t="s">
        <v>54</v>
      </c>
    </row>
    <row r="32" spans="4:28" x14ac:dyDescent="0.3">
      <c r="D32" s="1" t="str">
        <f>SUBSTITUTE(CbgIiWorkbooks[[#This Row],[Workbook]], " ", "")</f>
        <v/>
      </c>
      <c r="K32" s="1" t="str">
        <f>SUBSTITUTE(CbgIiWorksheets[[#This Row],[Worksheet]], " ", "")</f>
        <v/>
      </c>
      <c r="Q32" s="1" t="str">
        <f>SUBSTITUTE(CbgIiTables[[#This Row],[Table Name]], " ", "")</f>
        <v/>
      </c>
      <c r="W32" s="1">
        <v>4</v>
      </c>
      <c r="X32" s="1" t="s">
        <v>127</v>
      </c>
      <c r="Y32" s="1" t="s">
        <v>137</v>
      </c>
      <c r="Z32" s="1" t="s">
        <v>148</v>
      </c>
      <c r="AA32" s="1" t="str">
        <f>SUBSTITUTE(CbgIiColumns[[#This Row],[Name]], " ", "")</f>
        <v>Task</v>
      </c>
      <c r="AB32" s="1" t="s">
        <v>54</v>
      </c>
    </row>
    <row r="33" spans="4:28" x14ac:dyDescent="0.3">
      <c r="D33" s="1" t="str">
        <f>SUBSTITUTE(CbgIiWorkbooks[[#This Row],[Workbook]], " ", "")</f>
        <v/>
      </c>
      <c r="K33" s="1" t="str">
        <f>SUBSTITUTE(CbgIiWorksheets[[#This Row],[Worksheet]], " ", "")</f>
        <v/>
      </c>
      <c r="Q33" s="1" t="str">
        <f>SUBSTITUTE(CbgIiTables[[#This Row],[Table Name]], " ", "")</f>
        <v/>
      </c>
      <c r="W33" s="1">
        <v>5</v>
      </c>
      <c r="X33" s="1" t="s">
        <v>127</v>
      </c>
      <c r="Y33" s="1" t="s">
        <v>137</v>
      </c>
      <c r="Z33" s="1" t="s">
        <v>156</v>
      </c>
      <c r="AA33" s="1" t="str">
        <f>SUBSTITUTE(CbgIiColumns[[#This Row],[Name]], " ", "")</f>
        <v>Created</v>
      </c>
      <c r="AB33" s="1" t="s">
        <v>54</v>
      </c>
    </row>
    <row r="34" spans="4:28" x14ac:dyDescent="0.3">
      <c r="D34" s="1" t="str">
        <f>SUBSTITUTE(CbgIiWorkbooks[[#This Row],[Workbook]], " ", "")</f>
        <v/>
      </c>
      <c r="K34" s="1" t="str">
        <f>SUBSTITUTE(CbgIiWorksheets[[#This Row],[Worksheet]], " ", "")</f>
        <v/>
      </c>
      <c r="Q34" s="1" t="str">
        <f>SUBSTITUTE(CbgIiTables[[#This Row],[Table Name]], " ", "")</f>
        <v/>
      </c>
      <c r="W34" s="1">
        <v>6</v>
      </c>
      <c r="X34" s="1" t="s">
        <v>127</v>
      </c>
      <c r="Y34" s="1" t="s">
        <v>137</v>
      </c>
      <c r="Z34" s="1" t="s">
        <v>149</v>
      </c>
      <c r="AA34" s="1" t="str">
        <f>SUBSTITUTE(CbgIiColumns[[#This Row],[Name]], " ", "")</f>
        <v>DueDate</v>
      </c>
      <c r="AB34" s="1" t="s">
        <v>54</v>
      </c>
    </row>
    <row r="35" spans="4:28" x14ac:dyDescent="0.3">
      <c r="D35" s="1" t="str">
        <f>SUBSTITUTE(CbgIiWorkbooks[[#This Row],[Workbook]], " ", "")</f>
        <v/>
      </c>
      <c r="K35" s="1" t="str">
        <f>SUBSTITUTE(CbgIiWorksheets[[#This Row],[Worksheet]], " ", "")</f>
        <v/>
      </c>
      <c r="Q35" s="1" t="str">
        <f>SUBSTITUTE(CbgIiTables[[#This Row],[Table Name]], " ", "")</f>
        <v/>
      </c>
      <c r="W35" s="1">
        <v>7</v>
      </c>
      <c r="X35" s="1" t="s">
        <v>127</v>
      </c>
      <c r="Y35" s="1" t="s">
        <v>137</v>
      </c>
      <c r="Z35" s="1" t="s">
        <v>150</v>
      </c>
      <c r="AA35" s="1" t="str">
        <f>SUBSTITUTE(CbgIiColumns[[#This Row],[Name]], " ", "")</f>
        <v>Importance</v>
      </c>
      <c r="AB35" s="1" t="s">
        <v>54</v>
      </c>
    </row>
    <row r="36" spans="4:28" x14ac:dyDescent="0.3">
      <c r="D36" s="1" t="str">
        <f>SUBSTITUTE(CbgIiWorkbooks[[#This Row],[Workbook]], " ", "")</f>
        <v/>
      </c>
      <c r="K36" s="1" t="str">
        <f>SUBSTITUTE(CbgIiWorksheets[[#This Row],[Worksheet]], " ", "")</f>
        <v/>
      </c>
      <c r="Q36" s="1" t="str">
        <f>SUBSTITUTE(CbgIiTables[[#This Row],[Table Name]], " ", "")</f>
        <v/>
      </c>
      <c r="W36" s="1">
        <v>8</v>
      </c>
      <c r="X36" s="1" t="s">
        <v>127</v>
      </c>
      <c r="Y36" s="1" t="s">
        <v>137</v>
      </c>
      <c r="Z36" s="1" t="s">
        <v>152</v>
      </c>
      <c r="AA36" s="1" t="str">
        <f>SUBSTITUTE(CbgIiColumns[[#This Row],[Name]], " ", "")</f>
        <v>Difficulty</v>
      </c>
      <c r="AB36" s="1" t="s">
        <v>54</v>
      </c>
    </row>
    <row r="37" spans="4:28" x14ac:dyDescent="0.3">
      <c r="D37" s="1" t="str">
        <f>SUBSTITUTE(CbgIiWorkbooks[[#This Row],[Workbook]], " ", "")</f>
        <v/>
      </c>
      <c r="K37" s="1" t="str">
        <f>SUBSTITUTE(CbgIiWorksheets[[#This Row],[Worksheet]], " ", "")</f>
        <v/>
      </c>
      <c r="Q37" s="1" t="str">
        <f>SUBSTITUTE(CbgIiTables[[#This Row],[Table Name]], " ", "")</f>
        <v/>
      </c>
      <c r="W37" s="1">
        <v>9</v>
      </c>
      <c r="X37" s="1" t="s">
        <v>127</v>
      </c>
      <c r="Y37" s="1" t="s">
        <v>137</v>
      </c>
      <c r="Z37" s="1" t="s">
        <v>151</v>
      </c>
      <c r="AA37" s="1" t="str">
        <f>SUBSTITUTE(CbgIiColumns[[#This Row],[Name]], " ", "")</f>
        <v>Urgency</v>
      </c>
      <c r="AB37" s="1" t="s">
        <v>54</v>
      </c>
    </row>
    <row r="38" spans="4:28" x14ac:dyDescent="0.3">
      <c r="D38" s="1" t="str">
        <f>SUBSTITUTE(CbgIiWorkbooks[[#This Row],[Workbook]], " ", "")</f>
        <v/>
      </c>
      <c r="K38" s="1" t="str">
        <f>SUBSTITUTE(CbgIiWorksheets[[#This Row],[Worksheet]], " ", "")</f>
        <v/>
      </c>
      <c r="Q38" s="1" t="str">
        <f>SUBSTITUTE(CbgIiTables[[#This Row],[Table Name]], " ", "")</f>
        <v/>
      </c>
      <c r="W38" s="1">
        <v>10</v>
      </c>
      <c r="X38" s="1" t="s">
        <v>127</v>
      </c>
      <c r="Y38" s="1" t="s">
        <v>137</v>
      </c>
      <c r="Z38" s="1" t="s">
        <v>157</v>
      </c>
      <c r="AA38" s="1" t="str">
        <f>SUBSTITUTE(CbgIiColumns[[#This Row],[Name]], " ", "")</f>
        <v>MomentumIndex</v>
      </c>
      <c r="AB38" s="1" t="s">
        <v>54</v>
      </c>
    </row>
    <row r="39" spans="4:28" x14ac:dyDescent="0.3">
      <c r="D39" s="1" t="str">
        <f>SUBSTITUTE(CbgIiWorkbooks[[#This Row],[Workbook]], " ", "")</f>
        <v/>
      </c>
      <c r="K39" s="1" t="str">
        <f>SUBSTITUTE(CbgIiWorksheets[[#This Row],[Worksheet]], " ", "")</f>
        <v/>
      </c>
      <c r="Q39" s="1" t="str">
        <f>SUBSTITUTE(CbgIiTables[[#This Row],[Table Name]], " ", "")</f>
        <v/>
      </c>
      <c r="W39" s="1">
        <v>11</v>
      </c>
      <c r="X39" s="1" t="s">
        <v>127</v>
      </c>
      <c r="Y39" s="1" t="s">
        <v>137</v>
      </c>
      <c r="Z39" s="1" t="s">
        <v>158</v>
      </c>
      <c r="AA39" s="1" t="str">
        <f>SUBSTITUTE(CbgIiColumns[[#This Row],[Name]], " ", "")</f>
        <v>AvalancheIndex</v>
      </c>
      <c r="AB39" s="1" t="s">
        <v>54</v>
      </c>
    </row>
    <row r="40" spans="4:28" x14ac:dyDescent="0.3">
      <c r="D40" s="1" t="str">
        <f>SUBSTITUTE(CbgIiWorkbooks[[#This Row],[Workbook]], " ", "")</f>
        <v/>
      </c>
      <c r="K40" s="1" t="str">
        <f>SUBSTITUTE(CbgIiWorksheets[[#This Row],[Worksheet]], " ", "")</f>
        <v/>
      </c>
      <c r="Q40" s="1" t="str">
        <f>SUBSTITUTE(CbgIiTables[[#This Row],[Table Name]], " ", "")</f>
        <v/>
      </c>
      <c r="W40" s="1">
        <v>12</v>
      </c>
      <c r="X40" s="1" t="s">
        <v>127</v>
      </c>
      <c r="Y40" s="1" t="s">
        <v>137</v>
      </c>
      <c r="Z40" s="1" t="s">
        <v>53</v>
      </c>
      <c r="AA40" s="1" t="str">
        <f>SUBSTITUTE(CbgIiColumns[[#This Row],[Name]], " ", "")</f>
        <v>Status</v>
      </c>
      <c r="AB40" s="1" t="s">
        <v>54</v>
      </c>
    </row>
    <row r="41" spans="4:28" x14ac:dyDescent="0.3">
      <c r="D41" s="1" t="str">
        <f>SUBSTITUTE(CbgIiWorkbooks[[#This Row],[Workbook]], " ", "")</f>
        <v/>
      </c>
      <c r="K41" s="1" t="str">
        <f>SUBSTITUTE(CbgIiWorksheets[[#This Row],[Worksheet]], " ", "")</f>
        <v/>
      </c>
      <c r="Q41" s="1" t="str">
        <f>SUBSTITUTE(CbgIiTables[[#This Row],[Table Name]], " ", "")</f>
        <v/>
      </c>
      <c r="W41" s="1">
        <v>13</v>
      </c>
      <c r="X41" s="1" t="s">
        <v>127</v>
      </c>
      <c r="Y41" s="1" t="s">
        <v>137</v>
      </c>
      <c r="Z41" s="1" t="s">
        <v>52</v>
      </c>
      <c r="AA41" s="1" t="str">
        <f>SUBSTITUTE(CbgIiColumns[[#This Row],[Name]], " ", "")</f>
        <v>Updated</v>
      </c>
      <c r="AB41" s="1" t="s">
        <v>54</v>
      </c>
    </row>
    <row r="42" spans="4:28" x14ac:dyDescent="0.3">
      <c r="D42" s="1" t="str">
        <f>SUBSTITUTE(CbgIiWorkbooks[[#This Row],[Workbook]], " ", "")</f>
        <v/>
      </c>
      <c r="K42" s="1" t="str">
        <f>SUBSTITUTE(CbgIiWorksheets[[#This Row],[Worksheet]], " ", "")</f>
        <v/>
      </c>
      <c r="Q42" s="1" t="str">
        <f>SUBSTITUTE(CbgIiTables[[#This Row],[Table Name]], " ", "")</f>
        <v/>
      </c>
      <c r="W42" s="1">
        <v>1</v>
      </c>
      <c r="X42" s="1" t="s">
        <v>127</v>
      </c>
      <c r="Y42" s="1" t="s">
        <v>138</v>
      </c>
      <c r="Z42" s="1" t="s">
        <v>153</v>
      </c>
      <c r="AA42" s="1" t="str">
        <f>SUBSTITUTE(CbgIiColumns[[#This Row],[Name]], " ", "")</f>
        <v>DirectoryNumber</v>
      </c>
      <c r="AB42" s="1" t="s">
        <v>54</v>
      </c>
    </row>
    <row r="43" spans="4:28" x14ac:dyDescent="0.3">
      <c r="D43" s="1" t="str">
        <f>SUBSTITUTE(CbgIiWorkbooks[[#This Row],[Workbook]], " ", "")</f>
        <v/>
      </c>
      <c r="K43" s="1" t="str">
        <f>SUBSTITUTE(CbgIiWorksheets[[#This Row],[Worksheet]], " ", "")</f>
        <v/>
      </c>
      <c r="Q43" s="1" t="str">
        <f>SUBSTITUTE(CbgIiTables[[#This Row],[Table Name]], " ", "")</f>
        <v/>
      </c>
      <c r="W43" s="1">
        <v>2</v>
      </c>
      <c r="X43" s="1" t="s">
        <v>127</v>
      </c>
      <c r="Y43" s="1" t="s">
        <v>138</v>
      </c>
      <c r="Z43" s="1" t="s">
        <v>154</v>
      </c>
      <c r="AA43" s="1" t="str">
        <f>SUBSTITUTE(CbgIiColumns[[#This Row],[Name]], " ", "")</f>
        <v>GenerationNumber</v>
      </c>
      <c r="AB43" s="1" t="s">
        <v>54</v>
      </c>
    </row>
    <row r="44" spans="4:28" x14ac:dyDescent="0.3">
      <c r="D44" s="1" t="str">
        <f>SUBSTITUTE(CbgIiWorkbooks[[#This Row],[Workbook]], " ", "")</f>
        <v/>
      </c>
      <c r="K44" s="1" t="str">
        <f>SUBSTITUTE(CbgIiWorksheets[[#This Row],[Worksheet]], " ", "")</f>
        <v/>
      </c>
      <c r="Q44" s="1" t="str">
        <f>SUBSTITUTE(CbgIiTables[[#This Row],[Table Name]], " ", "")</f>
        <v/>
      </c>
      <c r="W44" s="1">
        <v>3</v>
      </c>
      <c r="X44" s="1" t="s">
        <v>127</v>
      </c>
      <c r="Y44" s="1" t="s">
        <v>138</v>
      </c>
      <c r="Z44" s="1" t="s">
        <v>155</v>
      </c>
      <c r="AA44" s="1" t="str">
        <f>SUBSTITUTE(CbgIiColumns[[#This Row],[Name]], " ", "")</f>
        <v>TaskID</v>
      </c>
      <c r="AB44" s="1" t="s">
        <v>54</v>
      </c>
    </row>
    <row r="45" spans="4:28" x14ac:dyDescent="0.3">
      <c r="D45" s="1" t="str">
        <f>SUBSTITUTE(CbgIiWorkbooks[[#This Row],[Workbook]], " ", "")</f>
        <v/>
      </c>
      <c r="K45" s="1" t="str">
        <f>SUBSTITUTE(CbgIiWorksheets[[#This Row],[Worksheet]], " ", "")</f>
        <v/>
      </c>
      <c r="Q45" s="1" t="str">
        <f>SUBSTITUTE(CbgIiTables[[#This Row],[Table Name]], " ", "")</f>
        <v/>
      </c>
      <c r="W45" s="1">
        <v>4</v>
      </c>
      <c r="X45" s="1" t="s">
        <v>127</v>
      </c>
      <c r="Y45" s="1" t="s">
        <v>138</v>
      </c>
      <c r="Z45" s="1" t="s">
        <v>148</v>
      </c>
      <c r="AA45" s="1" t="str">
        <f>SUBSTITUTE(CbgIiColumns[[#This Row],[Name]], " ", "")</f>
        <v>Task</v>
      </c>
      <c r="AB45" s="1" t="s">
        <v>54</v>
      </c>
    </row>
    <row r="46" spans="4:28" x14ac:dyDescent="0.3">
      <c r="D46" s="1" t="str">
        <f>SUBSTITUTE(CbgIiWorkbooks[[#This Row],[Workbook]], " ", "")</f>
        <v/>
      </c>
      <c r="K46" s="1" t="str">
        <f>SUBSTITUTE(CbgIiWorksheets[[#This Row],[Worksheet]], " ", "")</f>
        <v/>
      </c>
      <c r="Q46" s="1" t="str">
        <f>SUBSTITUTE(CbgIiTables[[#This Row],[Table Name]], " ", "")</f>
        <v/>
      </c>
      <c r="W46" s="1">
        <v>5</v>
      </c>
      <c r="X46" s="1" t="s">
        <v>127</v>
      </c>
      <c r="Y46" s="1" t="s">
        <v>138</v>
      </c>
      <c r="Z46" s="1" t="s">
        <v>156</v>
      </c>
      <c r="AA46" s="1" t="str">
        <f>SUBSTITUTE(CbgIiColumns[[#This Row],[Name]], " ", "")</f>
        <v>Created</v>
      </c>
      <c r="AB46" s="1" t="s">
        <v>54</v>
      </c>
    </row>
    <row r="47" spans="4:28" x14ac:dyDescent="0.3">
      <c r="D47" s="1" t="str">
        <f>SUBSTITUTE(CbgIiWorkbooks[[#This Row],[Workbook]], " ", "")</f>
        <v/>
      </c>
      <c r="K47" s="1" t="str">
        <f>SUBSTITUTE(CbgIiWorksheets[[#This Row],[Worksheet]], " ", "")</f>
        <v/>
      </c>
      <c r="Q47" s="1" t="str">
        <f>SUBSTITUTE(CbgIiTables[[#This Row],[Table Name]], " ", "")</f>
        <v/>
      </c>
      <c r="W47" s="1">
        <v>6</v>
      </c>
      <c r="X47" s="1" t="s">
        <v>127</v>
      </c>
      <c r="Y47" s="1" t="s">
        <v>138</v>
      </c>
      <c r="Z47" s="1" t="s">
        <v>149</v>
      </c>
      <c r="AA47" s="1" t="str">
        <f>SUBSTITUTE(CbgIiColumns[[#This Row],[Name]], " ", "")</f>
        <v>DueDate</v>
      </c>
      <c r="AB47" s="1" t="s">
        <v>54</v>
      </c>
    </row>
    <row r="48" spans="4:28" x14ac:dyDescent="0.3">
      <c r="D48" s="1" t="str">
        <f>SUBSTITUTE(CbgIiWorkbooks[[#This Row],[Workbook]], " ", "")</f>
        <v/>
      </c>
      <c r="K48" s="1" t="str">
        <f>SUBSTITUTE(CbgIiWorksheets[[#This Row],[Worksheet]], " ", "")</f>
        <v/>
      </c>
      <c r="Q48" s="1" t="str">
        <f>SUBSTITUTE(CbgIiTables[[#This Row],[Table Name]], " ", "")</f>
        <v/>
      </c>
      <c r="W48" s="1">
        <v>7</v>
      </c>
      <c r="X48" s="1" t="s">
        <v>127</v>
      </c>
      <c r="Y48" s="1" t="s">
        <v>138</v>
      </c>
      <c r="Z48" s="1" t="s">
        <v>150</v>
      </c>
      <c r="AA48" s="1" t="str">
        <f>SUBSTITUTE(CbgIiColumns[[#This Row],[Name]], " ", "")</f>
        <v>Importance</v>
      </c>
      <c r="AB48" s="1" t="s">
        <v>54</v>
      </c>
    </row>
    <row r="49" spans="4:28" x14ac:dyDescent="0.3">
      <c r="D49" s="1" t="str">
        <f>SUBSTITUTE(CbgIiWorkbooks[[#This Row],[Workbook]], " ", "")</f>
        <v/>
      </c>
      <c r="K49" s="1" t="str">
        <f>SUBSTITUTE(CbgIiWorksheets[[#This Row],[Worksheet]], " ", "")</f>
        <v/>
      </c>
      <c r="Q49" s="1" t="str">
        <f>SUBSTITUTE(CbgIiTables[[#This Row],[Table Name]], " ", "")</f>
        <v/>
      </c>
      <c r="W49" s="1">
        <v>8</v>
      </c>
      <c r="X49" s="1" t="s">
        <v>127</v>
      </c>
      <c r="Y49" s="1" t="s">
        <v>138</v>
      </c>
      <c r="Z49" s="1" t="s">
        <v>152</v>
      </c>
      <c r="AA49" s="1" t="str">
        <f>SUBSTITUTE(CbgIiColumns[[#This Row],[Name]], " ", "")</f>
        <v>Difficulty</v>
      </c>
      <c r="AB49" s="1" t="s">
        <v>54</v>
      </c>
    </row>
    <row r="50" spans="4:28" x14ac:dyDescent="0.3">
      <c r="D50" s="1" t="str">
        <f>SUBSTITUTE(CbgIiWorkbooks[[#This Row],[Workbook]], " ", "")</f>
        <v/>
      </c>
      <c r="K50" s="1" t="str">
        <f>SUBSTITUTE(CbgIiWorksheets[[#This Row],[Worksheet]], " ", "")</f>
        <v/>
      </c>
      <c r="Q50" s="1" t="str">
        <f>SUBSTITUTE(CbgIiTables[[#This Row],[Table Name]], " ", "")</f>
        <v/>
      </c>
      <c r="W50" s="1">
        <v>9</v>
      </c>
      <c r="X50" s="1" t="s">
        <v>127</v>
      </c>
      <c r="Y50" s="1" t="s">
        <v>138</v>
      </c>
      <c r="Z50" s="1" t="s">
        <v>151</v>
      </c>
      <c r="AA50" s="1" t="str">
        <f>SUBSTITUTE(CbgIiColumns[[#This Row],[Name]], " ", "")</f>
        <v>Urgency</v>
      </c>
      <c r="AB50" s="1" t="s">
        <v>54</v>
      </c>
    </row>
    <row r="51" spans="4:28" x14ac:dyDescent="0.3">
      <c r="D51" s="1" t="str">
        <f>SUBSTITUTE(CbgIiWorkbooks[[#This Row],[Workbook]], " ", "")</f>
        <v/>
      </c>
      <c r="K51" s="1" t="str">
        <f>SUBSTITUTE(CbgIiWorksheets[[#This Row],[Worksheet]], " ", "")</f>
        <v/>
      </c>
      <c r="Q51" s="1" t="str">
        <f>SUBSTITUTE(CbgIiTables[[#This Row],[Table Name]], " ", "")</f>
        <v/>
      </c>
      <c r="W51" s="1">
        <v>10</v>
      </c>
      <c r="X51" s="1" t="s">
        <v>127</v>
      </c>
      <c r="Y51" s="1" t="s">
        <v>138</v>
      </c>
      <c r="Z51" s="1" t="s">
        <v>157</v>
      </c>
      <c r="AA51" s="1" t="str">
        <f>SUBSTITUTE(CbgIiColumns[[#This Row],[Name]], " ", "")</f>
        <v>MomentumIndex</v>
      </c>
      <c r="AB51" s="1" t="s">
        <v>54</v>
      </c>
    </row>
    <row r="52" spans="4:28" x14ac:dyDescent="0.3">
      <c r="D52" s="1" t="str">
        <f>SUBSTITUTE(CbgIiWorkbooks[[#This Row],[Workbook]], " ", "")</f>
        <v/>
      </c>
      <c r="K52" s="1" t="str">
        <f>SUBSTITUTE(CbgIiWorksheets[[#This Row],[Worksheet]], " ", "")</f>
        <v/>
      </c>
      <c r="Q52" s="1" t="str">
        <f>SUBSTITUTE(CbgIiTables[[#This Row],[Table Name]], " ", "")</f>
        <v/>
      </c>
      <c r="W52" s="1">
        <v>11</v>
      </c>
      <c r="X52" s="1" t="s">
        <v>127</v>
      </c>
      <c r="Y52" s="1" t="s">
        <v>138</v>
      </c>
      <c r="Z52" s="1" t="s">
        <v>158</v>
      </c>
      <c r="AA52" s="1" t="str">
        <f>SUBSTITUTE(CbgIiColumns[[#This Row],[Name]], " ", "")</f>
        <v>AvalancheIndex</v>
      </c>
      <c r="AB52" s="1" t="s">
        <v>54</v>
      </c>
    </row>
    <row r="53" spans="4:28" x14ac:dyDescent="0.3">
      <c r="D53" s="1" t="str">
        <f>SUBSTITUTE(CbgIiWorkbooks[[#This Row],[Workbook]], " ", "")</f>
        <v/>
      </c>
      <c r="K53" s="1" t="str">
        <f>SUBSTITUTE(CbgIiWorksheets[[#This Row],[Worksheet]], " ", "")</f>
        <v/>
      </c>
      <c r="Q53" s="1" t="str">
        <f>SUBSTITUTE(CbgIiTables[[#This Row],[Table Name]], " ", "")</f>
        <v/>
      </c>
      <c r="W53" s="1">
        <v>12</v>
      </c>
      <c r="X53" s="1" t="s">
        <v>127</v>
      </c>
      <c r="Y53" s="1" t="s">
        <v>138</v>
      </c>
      <c r="Z53" s="1" t="s">
        <v>53</v>
      </c>
      <c r="AA53" s="1" t="str">
        <f>SUBSTITUTE(CbgIiColumns[[#This Row],[Name]], " ", "")</f>
        <v>Status</v>
      </c>
      <c r="AB53" s="1" t="s">
        <v>54</v>
      </c>
    </row>
    <row r="54" spans="4:28" x14ac:dyDescent="0.3">
      <c r="D54" s="1" t="str">
        <f>SUBSTITUTE(CbgIiWorkbooks[[#This Row],[Workbook]], " ", "")</f>
        <v/>
      </c>
      <c r="K54" s="1" t="str">
        <f>SUBSTITUTE(CbgIiWorksheets[[#This Row],[Worksheet]], " ", "")</f>
        <v/>
      </c>
      <c r="Q54" s="1" t="str">
        <f>SUBSTITUTE(CbgIiTables[[#This Row],[Table Name]], " ", "")</f>
        <v/>
      </c>
      <c r="W54" s="1">
        <v>13</v>
      </c>
      <c r="X54" s="1" t="s">
        <v>127</v>
      </c>
      <c r="Y54" s="1" t="s">
        <v>138</v>
      </c>
      <c r="Z54" s="1" t="s">
        <v>52</v>
      </c>
      <c r="AA54" s="1" t="str">
        <f>SUBSTITUTE(CbgIiColumns[[#This Row],[Name]], " ", "")</f>
        <v>Updated</v>
      </c>
      <c r="AB54" s="1" t="s">
        <v>54</v>
      </c>
    </row>
    <row r="55" spans="4:28" x14ac:dyDescent="0.3">
      <c r="D55" s="1" t="str">
        <f>SUBSTITUTE(CbgIiWorkbooks[[#This Row],[Workbook]], " ", "")</f>
        <v/>
      </c>
      <c r="K55" s="1" t="str">
        <f>SUBSTITUTE(CbgIiWorksheets[[#This Row],[Worksheet]], " ", "")</f>
        <v/>
      </c>
      <c r="Q55" s="1" t="str">
        <f>SUBSTITUTE(CbgIiTables[[#This Row],[Table Name]], " ", "")</f>
        <v/>
      </c>
      <c r="W55" s="1">
        <v>1</v>
      </c>
      <c r="X55" s="1" t="s">
        <v>51</v>
      </c>
      <c r="Y55" s="1" t="s">
        <v>131</v>
      </c>
      <c r="Z55" s="1" t="s">
        <v>146</v>
      </c>
      <c r="AA55" s="1" t="str">
        <f>SUBSTITUTE(CbgIiColumns[[#This Row],[Name]], " ", "")</f>
        <v>Division</v>
      </c>
      <c r="AB55" s="1" t="s">
        <v>54</v>
      </c>
    </row>
    <row r="56" spans="4:28" x14ac:dyDescent="0.3">
      <c r="D56" s="1" t="str">
        <f>SUBSTITUTE(CbgIiWorkbooks[[#This Row],[Workbook]], " ", "")</f>
        <v/>
      </c>
      <c r="K56" s="1" t="str">
        <f>SUBSTITUTE(CbgIiWorksheets[[#This Row],[Worksheet]], " ", "")</f>
        <v/>
      </c>
      <c r="Q56" s="1" t="str">
        <f>SUBSTITUTE(CbgIiTables[[#This Row],[Table Name]], " ", "")</f>
        <v/>
      </c>
      <c r="W56" s="1">
        <v>2</v>
      </c>
      <c r="X56" s="1" t="s">
        <v>51</v>
      </c>
      <c r="Y56" s="1" t="s">
        <v>131</v>
      </c>
      <c r="Z56" s="1" t="s">
        <v>143</v>
      </c>
      <c r="AA56" s="1" t="str">
        <f>SUBSTITUTE(CbgIiColumns[[#This Row],[Name]], " ", "")</f>
        <v>DirNum</v>
      </c>
      <c r="AB56" s="1" t="s">
        <v>54</v>
      </c>
    </row>
    <row r="57" spans="4:28" x14ac:dyDescent="0.3">
      <c r="D57" s="1" t="str">
        <f>SUBSTITUTE(CbgIiWorkbooks[[#This Row],[Workbook]], " ", "")</f>
        <v/>
      </c>
      <c r="K57" s="1" t="str">
        <f>SUBSTITUTE(CbgIiWorksheets[[#This Row],[Worksheet]], " ", "")</f>
        <v/>
      </c>
      <c r="Q57" s="1" t="str">
        <f>SUBSTITUTE(CbgIiTables[[#This Row],[Table Name]], " ", "")</f>
        <v/>
      </c>
      <c r="W57" s="1">
        <v>3</v>
      </c>
      <c r="X57" s="1" t="s">
        <v>51</v>
      </c>
      <c r="Y57" s="1" t="s">
        <v>131</v>
      </c>
      <c r="Z57" s="1" t="s">
        <v>144</v>
      </c>
      <c r="AA57" s="1" t="str">
        <f>SUBSTITUTE(CbgIiColumns[[#This Row],[Name]], " ", "")</f>
        <v>DirLvl</v>
      </c>
      <c r="AB57" s="1" t="s">
        <v>54</v>
      </c>
    </row>
    <row r="58" spans="4:28" x14ac:dyDescent="0.3">
      <c r="D58" s="1" t="str">
        <f>SUBSTITUTE(CbgIiWorkbooks[[#This Row],[Workbook]], " ", "")</f>
        <v/>
      </c>
      <c r="K58" s="1" t="str">
        <f>SUBSTITUTE(CbgIiWorksheets[[#This Row],[Worksheet]], " ", "")</f>
        <v/>
      </c>
      <c r="Q58" s="1" t="str">
        <f>SUBSTITUTE(CbgIiTables[[#This Row],[Table Name]], " ", "")</f>
        <v/>
      </c>
      <c r="W58" s="1">
        <v>4</v>
      </c>
      <c r="X58" s="1" t="s">
        <v>51</v>
      </c>
      <c r="Y58" s="1" t="s">
        <v>131</v>
      </c>
      <c r="Z58" s="1" t="s">
        <v>145</v>
      </c>
      <c r="AA58" s="1" t="str">
        <f>SUBSTITUTE(CbgIiColumns[[#This Row],[Name]], " ", "")</f>
        <v>Section</v>
      </c>
      <c r="AB58" s="1" t="s">
        <v>54</v>
      </c>
    </row>
    <row r="59" spans="4:28" x14ac:dyDescent="0.3">
      <c r="D59" s="1" t="str">
        <f>SUBSTITUTE(CbgIiWorkbooks[[#This Row],[Workbook]], " ", "")</f>
        <v/>
      </c>
      <c r="K59" s="1" t="str">
        <f>SUBSTITUTE(CbgIiWorksheets[[#This Row],[Worksheet]], " ", "")</f>
        <v/>
      </c>
      <c r="Q59" s="1" t="str">
        <f>SUBSTITUTE(CbgIiTables[[#This Row],[Table Name]], " ", "")</f>
        <v/>
      </c>
      <c r="W59" s="1">
        <v>5</v>
      </c>
      <c r="X59" s="1" t="s">
        <v>51</v>
      </c>
      <c r="Y59" s="1" t="s">
        <v>131</v>
      </c>
      <c r="Z59" s="1" t="s">
        <v>142</v>
      </c>
      <c r="AA59" s="1" t="str">
        <f>SUBSTITUTE(CbgIiColumns[[#This Row],[Name]], " ", "")</f>
        <v>Directory</v>
      </c>
      <c r="AB59" s="1" t="s">
        <v>54</v>
      </c>
    </row>
    <row r="60" spans="4:28" x14ac:dyDescent="0.3">
      <c r="D60" s="1" t="str">
        <f>SUBSTITUTE(CbgIiWorkbooks[[#This Row],[Workbook]], " ", "")</f>
        <v/>
      </c>
      <c r="K60" s="1" t="str">
        <f>SUBSTITUTE(CbgIiWorksheets[[#This Row],[Worksheet]], " ", "")</f>
        <v/>
      </c>
      <c r="Q60" s="1" t="str">
        <f>SUBSTITUTE(CbgIiTables[[#This Row],[Table Name]], " ", "")</f>
        <v/>
      </c>
      <c r="W60" s="1">
        <v>6</v>
      </c>
      <c r="X60" s="1" t="s">
        <v>51</v>
      </c>
      <c r="Y60" s="1" t="s">
        <v>131</v>
      </c>
      <c r="Z60" s="1" t="s">
        <v>147</v>
      </c>
      <c r="AA60" s="1" t="str">
        <f>SUBSTITUTE(CbgIiColumns[[#This Row],[Name]], " ", "")</f>
        <v>Tasklist</v>
      </c>
      <c r="AB60" s="1" t="s">
        <v>54</v>
      </c>
    </row>
    <row r="61" spans="4:28" x14ac:dyDescent="0.3">
      <c r="D61" s="1" t="str">
        <f>SUBSTITUTE(CbgIiWorkbooks[[#This Row],[Workbook]], " ", "")</f>
        <v/>
      </c>
      <c r="K61" s="1" t="str">
        <f>SUBSTITUTE(CbgIiWorksheets[[#This Row],[Worksheet]], " ", "")</f>
        <v/>
      </c>
      <c r="Q61" s="1" t="str">
        <f>SUBSTITUTE(CbgIiTables[[#This Row],[Table Name]], " ", "")</f>
        <v/>
      </c>
      <c r="W61" s="1">
        <v>7</v>
      </c>
      <c r="X61" s="1" t="s">
        <v>51</v>
      </c>
      <c r="Y61" s="1" t="s">
        <v>131</v>
      </c>
      <c r="Z61" s="1" t="s">
        <v>2</v>
      </c>
      <c r="AA61" s="1" t="str">
        <f>SUBSTITUTE(CbgIiColumns[[#This Row],[Name]], " ", "")</f>
        <v>Table</v>
      </c>
      <c r="AB61" s="1" t="s">
        <v>54</v>
      </c>
    </row>
    <row r="62" spans="4:28" x14ac:dyDescent="0.3">
      <c r="D62" s="1" t="str">
        <f>SUBSTITUTE(CbgIiWorkbooks[[#This Row],[Workbook]], " ", "")</f>
        <v/>
      </c>
      <c r="K62" s="1" t="str">
        <f>SUBSTITUTE(CbgIiWorksheets[[#This Row],[Worksheet]], " ", "")</f>
        <v/>
      </c>
      <c r="Q62" s="1" t="str">
        <f>SUBSTITUTE(CbgIiTables[[#This Row],[Table Name]], " ", "")</f>
        <v/>
      </c>
      <c r="W62" s="1">
        <v>1</v>
      </c>
      <c r="X62" s="1" t="s">
        <v>164</v>
      </c>
      <c r="Y62" s="1" t="s">
        <v>163</v>
      </c>
      <c r="Z62" s="1" t="s">
        <v>153</v>
      </c>
      <c r="AA62" s="1" t="str">
        <f>SUBSTITUTE(CbgIiColumns[[#This Row],[Name]], " ", "")</f>
        <v>DirectoryNumber</v>
      </c>
      <c r="AB62" s="1" t="s">
        <v>130</v>
      </c>
    </row>
    <row r="63" spans="4:28" x14ac:dyDescent="0.3">
      <c r="D63" s="1" t="str">
        <f>SUBSTITUTE(CbgIiWorkbooks[[#This Row],[Workbook]], " ", "")</f>
        <v/>
      </c>
      <c r="K63" s="1" t="str">
        <f>SUBSTITUTE(CbgIiWorksheets[[#This Row],[Worksheet]], " ", "")</f>
        <v/>
      </c>
      <c r="Q63" s="1" t="str">
        <f>SUBSTITUTE(CbgIiTables[[#This Row],[Table Name]], " ", "")</f>
        <v/>
      </c>
      <c r="W63" s="1">
        <v>2</v>
      </c>
      <c r="X63" s="1" t="s">
        <v>164</v>
      </c>
      <c r="Y63" s="1" t="s">
        <v>163</v>
      </c>
      <c r="Z63" s="1" t="s">
        <v>154</v>
      </c>
      <c r="AA63" s="1" t="str">
        <f>SUBSTITUTE(CbgIiColumns[[#This Row],[Name]], " ", "")</f>
        <v>GenerationNumber</v>
      </c>
      <c r="AB63" s="1" t="s">
        <v>130</v>
      </c>
    </row>
    <row r="64" spans="4:28" x14ac:dyDescent="0.3">
      <c r="D64" s="1" t="str">
        <f>SUBSTITUTE(CbgIiWorkbooks[[#This Row],[Workbook]], " ", "")</f>
        <v/>
      </c>
      <c r="K64" s="1" t="str">
        <f>SUBSTITUTE(CbgIiWorksheets[[#This Row],[Worksheet]], " ", "")</f>
        <v/>
      </c>
      <c r="Q64" s="1" t="str">
        <f>SUBSTITUTE(CbgIiTables[[#This Row],[Table Name]], " ", "")</f>
        <v/>
      </c>
      <c r="W64" s="1">
        <v>3</v>
      </c>
      <c r="X64" s="1" t="s">
        <v>164</v>
      </c>
      <c r="Y64" s="1" t="s">
        <v>163</v>
      </c>
      <c r="Z64" s="1" t="s">
        <v>155</v>
      </c>
      <c r="AA64" s="1" t="str">
        <f>SUBSTITUTE(CbgIiColumns[[#This Row],[Name]], " ", "")</f>
        <v>TaskID</v>
      </c>
      <c r="AB64" s="1" t="s">
        <v>130</v>
      </c>
    </row>
    <row r="65" spans="4:28" x14ac:dyDescent="0.3">
      <c r="D65" s="1" t="str">
        <f>SUBSTITUTE(CbgIiWorkbooks[[#This Row],[Workbook]], " ", "")</f>
        <v/>
      </c>
      <c r="K65" s="1" t="str">
        <f>SUBSTITUTE(CbgIiWorksheets[[#This Row],[Worksheet]], " ", "")</f>
        <v/>
      </c>
      <c r="Q65" s="1" t="str">
        <f>SUBSTITUTE(CbgIiTables[[#This Row],[Table Name]], " ", "")</f>
        <v/>
      </c>
      <c r="W65" s="1">
        <v>4</v>
      </c>
      <c r="X65" s="1" t="s">
        <v>164</v>
      </c>
      <c r="Y65" s="1" t="s">
        <v>163</v>
      </c>
      <c r="Z65" s="1" t="s">
        <v>148</v>
      </c>
      <c r="AA65" s="1" t="str">
        <f>SUBSTITUTE(CbgIiColumns[[#This Row],[Name]], " ", "")</f>
        <v>Task</v>
      </c>
      <c r="AB65" s="1" t="s">
        <v>130</v>
      </c>
    </row>
    <row r="66" spans="4:28" x14ac:dyDescent="0.3">
      <c r="D66" s="1" t="str">
        <f>SUBSTITUTE(CbgIiWorkbooks[[#This Row],[Workbook]], " ", "")</f>
        <v/>
      </c>
      <c r="K66" s="1" t="str">
        <f>SUBSTITUTE(CbgIiWorksheets[[#This Row],[Worksheet]], " ", "")</f>
        <v/>
      </c>
      <c r="Q66" s="1" t="str">
        <f>SUBSTITUTE(CbgIiTables[[#This Row],[Table Name]], " ", "")</f>
        <v/>
      </c>
      <c r="W66" s="1">
        <v>5</v>
      </c>
      <c r="X66" s="1" t="s">
        <v>164</v>
      </c>
      <c r="Y66" s="1" t="s">
        <v>163</v>
      </c>
      <c r="Z66" s="1" t="s">
        <v>156</v>
      </c>
      <c r="AA66" s="1" t="str">
        <f>SUBSTITUTE(CbgIiColumns[[#This Row],[Name]], " ", "")</f>
        <v>Created</v>
      </c>
      <c r="AB66" s="1" t="s">
        <v>130</v>
      </c>
    </row>
    <row r="67" spans="4:28" x14ac:dyDescent="0.3">
      <c r="D67" s="1" t="str">
        <f>SUBSTITUTE(CbgIiWorkbooks[[#This Row],[Workbook]], " ", "")</f>
        <v/>
      </c>
      <c r="K67" s="1" t="str">
        <f>SUBSTITUTE(CbgIiWorksheets[[#This Row],[Worksheet]], " ", "")</f>
        <v/>
      </c>
      <c r="Q67" s="1" t="str">
        <f>SUBSTITUTE(CbgIiTables[[#This Row],[Table Name]], " ", "")</f>
        <v/>
      </c>
      <c r="W67" s="1">
        <v>6</v>
      </c>
      <c r="X67" s="1" t="s">
        <v>164</v>
      </c>
      <c r="Y67" s="1" t="s">
        <v>163</v>
      </c>
      <c r="Z67" s="1" t="s">
        <v>149</v>
      </c>
      <c r="AA67" s="1" t="str">
        <f>SUBSTITUTE(CbgIiColumns[[#This Row],[Name]], " ", "")</f>
        <v>DueDate</v>
      </c>
      <c r="AB67" s="1" t="s">
        <v>130</v>
      </c>
    </row>
    <row r="68" spans="4:28" x14ac:dyDescent="0.3">
      <c r="D68" s="1" t="str">
        <f>SUBSTITUTE(CbgIiWorkbooks[[#This Row],[Workbook]], " ", "")</f>
        <v/>
      </c>
      <c r="K68" s="1" t="str">
        <f>SUBSTITUTE(CbgIiWorksheets[[#This Row],[Worksheet]], " ", "")</f>
        <v/>
      </c>
      <c r="Q68" s="1" t="str">
        <f>SUBSTITUTE(CbgIiTables[[#This Row],[Table Name]], " ", "")</f>
        <v/>
      </c>
      <c r="W68" s="1">
        <v>7</v>
      </c>
      <c r="X68" s="1" t="s">
        <v>164</v>
      </c>
      <c r="Y68" s="1" t="s">
        <v>163</v>
      </c>
      <c r="Z68" s="1" t="s">
        <v>150</v>
      </c>
      <c r="AA68" s="1" t="str">
        <f>SUBSTITUTE(CbgIiColumns[[#This Row],[Name]], " ", "")</f>
        <v>Importance</v>
      </c>
      <c r="AB68" s="1" t="s">
        <v>130</v>
      </c>
    </row>
    <row r="69" spans="4:28" x14ac:dyDescent="0.3">
      <c r="D69" s="1" t="str">
        <f>SUBSTITUTE(CbgIiWorkbooks[[#This Row],[Workbook]], " ", "")</f>
        <v/>
      </c>
      <c r="K69" s="1" t="str">
        <f>SUBSTITUTE(CbgIiWorksheets[[#This Row],[Worksheet]], " ", "")</f>
        <v/>
      </c>
      <c r="Q69" s="1" t="str">
        <f>SUBSTITUTE(CbgIiTables[[#This Row],[Table Name]], " ", "")</f>
        <v/>
      </c>
      <c r="W69" s="1">
        <v>8</v>
      </c>
      <c r="X69" s="1" t="s">
        <v>164</v>
      </c>
      <c r="Y69" s="1" t="s">
        <v>163</v>
      </c>
      <c r="Z69" s="1" t="s">
        <v>151</v>
      </c>
      <c r="AA69" s="1" t="str">
        <f>SUBSTITUTE(CbgIiColumns[[#This Row],[Name]], " ", "")</f>
        <v>Urgency</v>
      </c>
      <c r="AB69" s="1" t="s">
        <v>130</v>
      </c>
    </row>
    <row r="70" spans="4:28" x14ac:dyDescent="0.3">
      <c r="D70" s="1" t="str">
        <f>SUBSTITUTE(CbgIiWorkbooks[[#This Row],[Workbook]], " ", "")</f>
        <v/>
      </c>
      <c r="K70" s="1" t="str">
        <f>SUBSTITUTE(CbgIiWorksheets[[#This Row],[Worksheet]], " ", "")</f>
        <v/>
      </c>
      <c r="Q70" s="1" t="str">
        <f>SUBSTITUTE(CbgIiTables[[#This Row],[Table Name]], " ", "")</f>
        <v/>
      </c>
      <c r="W70" s="1">
        <v>9</v>
      </c>
      <c r="X70" s="1" t="s">
        <v>164</v>
      </c>
      <c r="Y70" s="1" t="s">
        <v>163</v>
      </c>
      <c r="Z70" s="1" t="s">
        <v>152</v>
      </c>
      <c r="AA70" s="1" t="str">
        <f>SUBSTITUTE(CbgIiColumns[[#This Row],[Name]], " ", "")</f>
        <v>Difficulty</v>
      </c>
      <c r="AB70" s="1" t="s">
        <v>130</v>
      </c>
    </row>
    <row r="71" spans="4:28" x14ac:dyDescent="0.3">
      <c r="D71" s="1" t="str">
        <f>SUBSTITUTE(CbgIiWorkbooks[[#This Row],[Workbook]], " ", "")</f>
        <v/>
      </c>
      <c r="K71" s="1" t="str">
        <f>SUBSTITUTE(CbgIiWorksheets[[#This Row],[Worksheet]], " ", "")</f>
        <v/>
      </c>
      <c r="Q71" s="1" t="str">
        <f>SUBSTITUTE(CbgIiTables[[#This Row],[Table Name]], " ", "")</f>
        <v/>
      </c>
      <c r="W71" s="1">
        <v>10</v>
      </c>
      <c r="X71" s="1" t="s">
        <v>164</v>
      </c>
      <c r="Y71" s="1" t="s">
        <v>163</v>
      </c>
      <c r="Z71" s="1" t="s">
        <v>157</v>
      </c>
      <c r="AA71" s="1" t="str">
        <f>SUBSTITUTE(CbgIiColumns[[#This Row],[Name]], " ", "")</f>
        <v>MomentumIndex</v>
      </c>
      <c r="AB71" s="1" t="s">
        <v>130</v>
      </c>
    </row>
    <row r="72" spans="4:28" x14ac:dyDescent="0.3">
      <c r="D72" s="1" t="str">
        <f>SUBSTITUTE(CbgIiWorkbooks[[#This Row],[Workbook]], " ", "")</f>
        <v/>
      </c>
      <c r="K72" s="1" t="str">
        <f>SUBSTITUTE(CbgIiWorksheets[[#This Row],[Worksheet]], " ", "")</f>
        <v/>
      </c>
      <c r="Q72" s="1" t="str">
        <f>SUBSTITUTE(CbgIiTables[[#This Row],[Table Name]], " ", "")</f>
        <v/>
      </c>
      <c r="W72" s="1">
        <v>11</v>
      </c>
      <c r="X72" s="1" t="s">
        <v>164</v>
      </c>
      <c r="Y72" s="1" t="s">
        <v>163</v>
      </c>
      <c r="Z72" s="1" t="s">
        <v>158</v>
      </c>
      <c r="AA72" s="1" t="str">
        <f>SUBSTITUTE(CbgIiColumns[[#This Row],[Name]], " ", "")</f>
        <v>AvalancheIndex</v>
      </c>
      <c r="AB72" s="1" t="s">
        <v>130</v>
      </c>
    </row>
    <row r="73" spans="4:28" x14ac:dyDescent="0.3">
      <c r="D73" s="1" t="str">
        <f>SUBSTITUTE(CbgIiWorkbooks[[#This Row],[Workbook]], " ", "")</f>
        <v/>
      </c>
      <c r="K73" s="1" t="str">
        <f>SUBSTITUTE(CbgIiWorksheets[[#This Row],[Worksheet]], " ", "")</f>
        <v/>
      </c>
      <c r="Q73" s="1" t="str">
        <f>SUBSTITUTE(CbgIiTables[[#This Row],[Table Name]], " ", "")</f>
        <v/>
      </c>
      <c r="W73" s="1">
        <v>12</v>
      </c>
      <c r="X73" s="1" t="s">
        <v>164</v>
      </c>
      <c r="Y73" s="1" t="s">
        <v>163</v>
      </c>
      <c r="Z73" s="1" t="s">
        <v>53</v>
      </c>
      <c r="AA73" s="1" t="str">
        <f>SUBSTITUTE(CbgIiColumns[[#This Row],[Name]], " ", "")</f>
        <v>Status</v>
      </c>
      <c r="AB73" s="1" t="s">
        <v>130</v>
      </c>
    </row>
    <row r="74" spans="4:28" x14ac:dyDescent="0.3">
      <c r="D74" s="1" t="str">
        <f>SUBSTITUTE(CbgIiWorkbooks[[#This Row],[Workbook]], " ", "")</f>
        <v/>
      </c>
      <c r="K74" s="1" t="str">
        <f>SUBSTITUTE(CbgIiWorksheets[[#This Row],[Worksheet]], " ", "")</f>
        <v/>
      </c>
      <c r="Q74" s="1" t="str">
        <f>SUBSTITUTE(CbgIiTables[[#This Row],[Table Name]], " ", "")</f>
        <v/>
      </c>
      <c r="W74" s="1">
        <v>13</v>
      </c>
      <c r="X74" s="1" t="s">
        <v>164</v>
      </c>
      <c r="Y74" s="1" t="s">
        <v>163</v>
      </c>
      <c r="Z74" s="1" t="s">
        <v>52</v>
      </c>
      <c r="AA74" s="1" t="str">
        <f>SUBSTITUTE(CbgIiColumns[[#This Row],[Name]], " ", "")</f>
        <v>Updated</v>
      </c>
      <c r="AB74" s="1" t="s">
        <v>130</v>
      </c>
    </row>
    <row r="75" spans="4:28" x14ac:dyDescent="0.3">
      <c r="D75" s="1" t="str">
        <f>SUBSTITUTE(CbgIiWorkbooks[[#This Row],[Workbook]], " ", "")</f>
        <v/>
      </c>
      <c r="K75" s="1" t="str">
        <f>SUBSTITUTE(CbgIiWorksheets[[#This Row],[Worksheet]], " ", "")</f>
        <v/>
      </c>
      <c r="Q75" s="1" t="str">
        <f>SUBSTITUTE(CbgIiTables[[#This Row],[Table Name]], " ", "")</f>
        <v/>
      </c>
      <c r="W75" s="1">
        <v>1</v>
      </c>
      <c r="X75" s="1" t="s">
        <v>126</v>
      </c>
      <c r="Y75" s="1" t="s">
        <v>55</v>
      </c>
      <c r="Z75" s="1" t="s">
        <v>142</v>
      </c>
      <c r="AA75" s="1" t="str">
        <f>SUBSTITUTE(CbgIiColumns[[#This Row],[Name]], " ", "")</f>
        <v>Directory</v>
      </c>
      <c r="AB75" s="1" t="s">
        <v>54</v>
      </c>
    </row>
    <row r="76" spans="4:28" x14ac:dyDescent="0.3">
      <c r="D76" s="1" t="str">
        <f>SUBSTITUTE(CbgIiWorkbooks[[#This Row],[Workbook]], " ", "")</f>
        <v/>
      </c>
      <c r="K76" s="1" t="str">
        <f>SUBSTITUTE(CbgIiWorksheets[[#This Row],[Worksheet]], " ", "")</f>
        <v/>
      </c>
      <c r="Q76" s="1" t="str">
        <f>SUBSTITUTE(CbgIiTables[[#This Row],[Table Name]], " ", "")</f>
        <v/>
      </c>
      <c r="W76" s="1">
        <v>2</v>
      </c>
      <c r="X76" s="1" t="s">
        <v>126</v>
      </c>
      <c r="Y76" s="1" t="s">
        <v>55</v>
      </c>
      <c r="Z76" s="1" t="s">
        <v>148</v>
      </c>
      <c r="AA76" s="1" t="str">
        <f>SUBSTITUTE(CbgIiColumns[[#This Row],[Name]], " ", "")</f>
        <v>Task</v>
      </c>
      <c r="AB76" s="1" t="s">
        <v>54</v>
      </c>
    </row>
    <row r="77" spans="4:28" x14ac:dyDescent="0.3">
      <c r="D77" s="1" t="str">
        <f>SUBSTITUTE(CbgIiWorkbooks[[#This Row],[Workbook]], " ", "")</f>
        <v/>
      </c>
      <c r="K77" s="1" t="str">
        <f>SUBSTITUTE(CbgIiWorksheets[[#This Row],[Worksheet]], " ", "")</f>
        <v/>
      </c>
      <c r="Q77" s="1" t="str">
        <f>SUBSTITUTE(CbgIiTables[[#This Row],[Table Name]], " ", "")</f>
        <v/>
      </c>
      <c r="W77" s="1">
        <v>3</v>
      </c>
      <c r="X77" s="1" t="s">
        <v>126</v>
      </c>
      <c r="Y77" s="1" t="s">
        <v>55</v>
      </c>
      <c r="Z77" s="1" t="s">
        <v>149</v>
      </c>
      <c r="AA77" s="1" t="str">
        <f>SUBSTITUTE(CbgIiColumns[[#This Row],[Name]], " ", "")</f>
        <v>DueDate</v>
      </c>
      <c r="AB77" s="1" t="s">
        <v>54</v>
      </c>
    </row>
    <row r="78" spans="4:28" x14ac:dyDescent="0.3">
      <c r="D78" s="1" t="str">
        <f>SUBSTITUTE(CbgIiWorkbooks[[#This Row],[Workbook]], " ", "")</f>
        <v/>
      </c>
      <c r="K78" s="1" t="str">
        <f>SUBSTITUTE(CbgIiWorksheets[[#This Row],[Worksheet]], " ", "")</f>
        <v/>
      </c>
      <c r="Q78" s="1" t="str">
        <f>SUBSTITUTE(CbgIiTables[[#This Row],[Table Name]], " ", "")</f>
        <v/>
      </c>
      <c r="W78" s="1">
        <v>4</v>
      </c>
      <c r="X78" s="1" t="s">
        <v>126</v>
      </c>
      <c r="Y78" s="1" t="s">
        <v>55</v>
      </c>
      <c r="Z78" s="1" t="s">
        <v>150</v>
      </c>
      <c r="AA78" s="1" t="str">
        <f>SUBSTITUTE(CbgIiColumns[[#This Row],[Name]], " ", "")</f>
        <v>Importance</v>
      </c>
      <c r="AB78" s="1" t="s">
        <v>54</v>
      </c>
    </row>
    <row r="79" spans="4:28" x14ac:dyDescent="0.3">
      <c r="D79" s="1" t="str">
        <f>SUBSTITUTE(CbgIiWorkbooks[[#This Row],[Workbook]], " ", "")</f>
        <v/>
      </c>
      <c r="K79" s="1" t="str">
        <f>SUBSTITUTE(CbgIiWorksheets[[#This Row],[Worksheet]], " ", "")</f>
        <v/>
      </c>
      <c r="Q79" s="1" t="str">
        <f>SUBSTITUTE(CbgIiTables[[#This Row],[Table Name]], " ", "")</f>
        <v/>
      </c>
      <c r="W79" s="1">
        <v>5</v>
      </c>
      <c r="X79" s="1" t="s">
        <v>126</v>
      </c>
      <c r="Y79" s="1" t="s">
        <v>55</v>
      </c>
      <c r="Z79" s="1" t="s">
        <v>151</v>
      </c>
      <c r="AA79" s="1" t="str">
        <f>SUBSTITUTE(CbgIiColumns[[#This Row],[Name]], " ", "")</f>
        <v>Urgency</v>
      </c>
      <c r="AB79" s="1" t="s">
        <v>54</v>
      </c>
    </row>
    <row r="80" spans="4:28" x14ac:dyDescent="0.3">
      <c r="D80" s="1" t="str">
        <f>SUBSTITUTE(CbgIiWorkbooks[[#This Row],[Workbook]], " ", "")</f>
        <v/>
      </c>
      <c r="K80" s="1" t="str">
        <f>SUBSTITUTE(CbgIiWorksheets[[#This Row],[Worksheet]], " ", "")</f>
        <v/>
      </c>
      <c r="Q80" s="1" t="str">
        <f>SUBSTITUTE(CbgIiTables[[#This Row],[Table Name]], " ", "")</f>
        <v/>
      </c>
      <c r="W80" s="1">
        <v>6</v>
      </c>
      <c r="X80" s="1" t="s">
        <v>126</v>
      </c>
      <c r="Y80" s="1" t="s">
        <v>55</v>
      </c>
      <c r="Z80" s="1" t="s">
        <v>152</v>
      </c>
      <c r="AA80" s="1" t="str">
        <f>SUBSTITUTE(CbgIiColumns[[#This Row],[Name]], " ", "")</f>
        <v>Difficulty</v>
      </c>
      <c r="AB80" s="1" t="s">
        <v>54</v>
      </c>
    </row>
    <row r="81" spans="4:27" x14ac:dyDescent="0.3">
      <c r="D81" s="1" t="str">
        <f>SUBSTITUTE(CbgIiWorkbooks[[#This Row],[Workbook]], " ", "")</f>
        <v/>
      </c>
      <c r="K81" s="1" t="str">
        <f>SUBSTITUTE(CbgIiWorksheets[[#This Row],[Worksheet]], " ", "")</f>
        <v/>
      </c>
      <c r="Q81" s="1" t="str">
        <f>SUBSTITUTE(CbgIiTables[[#This Row],[Table Name]], " ", "")</f>
        <v/>
      </c>
      <c r="AA81" s="1" t="str">
        <f>SUBSTITUTE(CbgIiColumns[[#This Row],[Name]], " ", "")</f>
        <v/>
      </c>
    </row>
    <row r="82" spans="4:27" x14ac:dyDescent="0.3">
      <c r="D82" s="1" t="str">
        <f>SUBSTITUTE(CbgIiWorkbooks[[#This Row],[Workbook]], " ", "")</f>
        <v/>
      </c>
      <c r="K82" s="1" t="str">
        <f>SUBSTITUTE(CbgIiWorksheets[[#This Row],[Worksheet]], " ", "")</f>
        <v/>
      </c>
      <c r="Q82" s="1" t="str">
        <f>SUBSTITUTE(CbgIiTables[[#This Row],[Table Name]], " ", "")</f>
        <v/>
      </c>
      <c r="AA82" s="1" t="str">
        <f>SUBSTITUTE(CbgIiColumns[[#This Row],[Name]], " ", "")</f>
        <v/>
      </c>
    </row>
    <row r="83" spans="4:27" x14ac:dyDescent="0.3">
      <c r="D83" s="1" t="str">
        <f>SUBSTITUTE(CbgIiWorkbooks[[#This Row],[Workbook]], " ", "")</f>
        <v/>
      </c>
      <c r="K83" s="1" t="str">
        <f>SUBSTITUTE(CbgIiWorksheets[[#This Row],[Worksheet]], " ", "")</f>
        <v/>
      </c>
      <c r="Q83" s="1" t="str">
        <f>SUBSTITUTE(CbgIiTables[[#This Row],[Table Name]], " ", "")</f>
        <v/>
      </c>
      <c r="AA83" s="1" t="str">
        <f>SUBSTITUTE(CbgIiColumns[[#This Row],[Name]], " ", "")</f>
        <v/>
      </c>
    </row>
    <row r="84" spans="4:27" x14ac:dyDescent="0.3">
      <c r="D84" s="1" t="str">
        <f>SUBSTITUTE(CbgIiWorkbooks[[#This Row],[Workbook]], " ", "")</f>
        <v/>
      </c>
      <c r="K84" s="1" t="str">
        <f>SUBSTITUTE(CbgIiWorksheets[[#This Row],[Worksheet]], " ", "")</f>
        <v/>
      </c>
      <c r="Q84" s="1" t="str">
        <f>SUBSTITUTE(CbgIiTables[[#This Row],[Table Name]], " ", "")</f>
        <v/>
      </c>
      <c r="AA84" s="1" t="str">
        <f>SUBSTITUTE(CbgIiColumns[[#This Row],[Name]], " ", "")</f>
        <v/>
      </c>
    </row>
    <row r="85" spans="4:27" x14ac:dyDescent="0.3">
      <c r="D85" s="1" t="str">
        <f>SUBSTITUTE(CbgIiWorkbooks[[#This Row],[Workbook]], " ", "")</f>
        <v/>
      </c>
      <c r="K85" s="1" t="str">
        <f>SUBSTITUTE(CbgIiWorksheets[[#This Row],[Worksheet]], " ", "")</f>
        <v/>
      </c>
      <c r="Q85" s="1" t="str">
        <f>SUBSTITUTE(CbgIiTables[[#This Row],[Table Name]], " ", "")</f>
        <v/>
      </c>
      <c r="AA85" s="1" t="str">
        <f>SUBSTITUTE(CbgIiColumns[[#This Row],[Name]], " ", "")</f>
        <v/>
      </c>
    </row>
    <row r="86" spans="4:27" x14ac:dyDescent="0.3">
      <c r="D86" s="1" t="str">
        <f>SUBSTITUTE(CbgIiWorkbooks[[#This Row],[Workbook]], " ", "")</f>
        <v/>
      </c>
      <c r="K86" s="1" t="str">
        <f>SUBSTITUTE(CbgIiWorksheets[[#This Row],[Worksheet]], " ", "")</f>
        <v/>
      </c>
      <c r="Q86" s="1" t="str">
        <f>SUBSTITUTE(CbgIiTables[[#This Row],[Table Name]], " ", "")</f>
        <v/>
      </c>
      <c r="AA86" s="1" t="str">
        <f>SUBSTITUTE(CbgIiColumns[[#This Row],[Name]], " ", "")</f>
        <v/>
      </c>
    </row>
    <row r="87" spans="4:27" x14ac:dyDescent="0.3">
      <c r="D87" s="1" t="str">
        <f>SUBSTITUTE(CbgIiWorkbooks[[#This Row],[Workbook]], " ", "")</f>
        <v/>
      </c>
      <c r="K87" s="1" t="str">
        <f>SUBSTITUTE(CbgIiWorksheets[[#This Row],[Worksheet]], " ", "")</f>
        <v/>
      </c>
      <c r="Q87" s="1" t="str">
        <f>SUBSTITUTE(CbgIiTables[[#This Row],[Table Name]], " ", "")</f>
        <v/>
      </c>
      <c r="AA87" s="1" t="str">
        <f>SUBSTITUTE(CbgIiColumns[[#This Row],[Name]], " ", "")</f>
        <v/>
      </c>
    </row>
    <row r="88" spans="4:27" x14ac:dyDescent="0.3">
      <c r="D88" s="1" t="str">
        <f>SUBSTITUTE(CbgIiWorkbooks[[#This Row],[Workbook]], " ", "")</f>
        <v/>
      </c>
      <c r="K88" s="1" t="str">
        <f>SUBSTITUTE(CbgIiWorksheets[[#This Row],[Worksheet]], " ", "")</f>
        <v/>
      </c>
      <c r="Q88" s="1" t="str">
        <f>SUBSTITUTE(CbgIiTables[[#This Row],[Table Name]], " ", "")</f>
        <v/>
      </c>
      <c r="AA88" s="1" t="str">
        <f>SUBSTITUTE(CbgIiColumns[[#This Row],[Name]], " ", "")</f>
        <v/>
      </c>
    </row>
    <row r="89" spans="4:27" x14ac:dyDescent="0.3">
      <c r="D89" s="1" t="str">
        <f>SUBSTITUTE(CbgIiWorkbooks[[#This Row],[Workbook]], " ", "")</f>
        <v/>
      </c>
      <c r="K89" s="1" t="str">
        <f>SUBSTITUTE(CbgIiWorksheets[[#This Row],[Worksheet]], " ", "")</f>
        <v/>
      </c>
      <c r="Q89" s="1" t="str">
        <f>SUBSTITUTE(CbgIiTables[[#This Row],[Table Name]], " ", "")</f>
        <v/>
      </c>
      <c r="AA89" s="1" t="str">
        <f>SUBSTITUTE(CbgIiColumns[[#This Row],[Name]], " ", "")</f>
        <v/>
      </c>
    </row>
    <row r="90" spans="4:27" x14ac:dyDescent="0.3">
      <c r="D90" s="1" t="str">
        <f>SUBSTITUTE(CbgIiWorkbooks[[#This Row],[Workbook]], " ", "")</f>
        <v/>
      </c>
      <c r="K90" s="1" t="str">
        <f>SUBSTITUTE(CbgIiWorksheets[[#This Row],[Worksheet]], " ", "")</f>
        <v/>
      </c>
      <c r="Q90" s="1" t="str">
        <f>SUBSTITUTE(CbgIiTables[[#This Row],[Table Name]], " ", "")</f>
        <v/>
      </c>
      <c r="AA90" s="1" t="str">
        <f>SUBSTITUTE(CbgIiColumns[[#This Row],[Name]], " ", "")</f>
        <v/>
      </c>
    </row>
    <row r="91" spans="4:27" x14ac:dyDescent="0.3">
      <c r="D91" s="1" t="str">
        <f>SUBSTITUTE(CbgIiWorkbooks[[#This Row],[Workbook]], " ", "")</f>
        <v/>
      </c>
      <c r="K91" s="1" t="str">
        <f>SUBSTITUTE(CbgIiWorksheets[[#This Row],[Worksheet]], " ", "")</f>
        <v/>
      </c>
      <c r="Q91" s="1" t="str">
        <f>SUBSTITUTE(CbgIiTables[[#This Row],[Table Name]], " ", "")</f>
        <v/>
      </c>
      <c r="AA91" s="1" t="str">
        <f>SUBSTITUTE(CbgIiColumns[[#This Row],[Name]], " ", "")</f>
        <v/>
      </c>
    </row>
    <row r="92" spans="4:27" x14ac:dyDescent="0.3">
      <c r="D92" s="1" t="str">
        <f>SUBSTITUTE(CbgIiWorkbooks[[#This Row],[Workbook]], " ", "")</f>
        <v/>
      </c>
      <c r="K92" s="1" t="str">
        <f>SUBSTITUTE(CbgIiWorksheets[[#This Row],[Worksheet]], " ", "")</f>
        <v/>
      </c>
      <c r="Q92" s="1" t="str">
        <f>SUBSTITUTE(CbgIiTables[[#This Row],[Table Name]], " ", "")</f>
        <v/>
      </c>
      <c r="AA92" s="1" t="str">
        <f>SUBSTITUTE(CbgIiColumns[[#This Row],[Name]], " ", "")</f>
        <v/>
      </c>
    </row>
    <row r="93" spans="4:27" x14ac:dyDescent="0.3">
      <c r="D93" s="1" t="str">
        <f>SUBSTITUTE(CbgIiWorkbooks[[#This Row],[Workbook]], " ", "")</f>
        <v/>
      </c>
      <c r="K93" s="1" t="str">
        <f>SUBSTITUTE(CbgIiWorksheets[[#This Row],[Worksheet]], " ", "")</f>
        <v/>
      </c>
      <c r="Q93" s="1" t="str">
        <f>SUBSTITUTE(CbgIiTables[[#This Row],[Table Name]], " ", "")</f>
        <v/>
      </c>
      <c r="AA93" s="1" t="str">
        <f>SUBSTITUTE(CbgIiColumns[[#This Row],[Name]], " ", "")</f>
        <v/>
      </c>
    </row>
    <row r="94" spans="4:27" x14ac:dyDescent="0.3">
      <c r="D94" s="1" t="str">
        <f>SUBSTITUTE(CbgIiWorkbooks[[#This Row],[Workbook]], " ", "")</f>
        <v/>
      </c>
      <c r="K94" s="1" t="str">
        <f>SUBSTITUTE(CbgIiWorksheets[[#This Row],[Worksheet]], " ", "")</f>
        <v/>
      </c>
      <c r="Q94" s="1" t="str">
        <f>SUBSTITUTE(CbgIiTables[[#This Row],[Table Name]], " ", "")</f>
        <v/>
      </c>
      <c r="AA94" s="1" t="str">
        <f>SUBSTITUTE(CbgIiColumns[[#This Row],[Name]], " ", "")</f>
        <v/>
      </c>
    </row>
    <row r="95" spans="4:27" x14ac:dyDescent="0.3">
      <c r="D95" s="1" t="str">
        <f>SUBSTITUTE(CbgIiWorkbooks[[#This Row],[Workbook]], " ", "")</f>
        <v/>
      </c>
      <c r="K95" s="1" t="str">
        <f>SUBSTITUTE(CbgIiWorksheets[[#This Row],[Worksheet]], " ", "")</f>
        <v/>
      </c>
      <c r="Q95" s="1" t="str">
        <f>SUBSTITUTE(CbgIiTables[[#This Row],[Table Name]], " ", "")</f>
        <v/>
      </c>
      <c r="AA95" s="1" t="str">
        <f>SUBSTITUTE(CbgIiColumns[[#This Row],[Name]], " ", "")</f>
        <v/>
      </c>
    </row>
    <row r="96" spans="4:27" x14ac:dyDescent="0.3">
      <c r="D96" s="1" t="str">
        <f>SUBSTITUTE(CbgIiWorkbooks[[#This Row],[Workbook]], " ", "")</f>
        <v/>
      </c>
      <c r="K96" s="1" t="str">
        <f>SUBSTITUTE(CbgIiWorksheets[[#This Row],[Worksheet]], " ", "")</f>
        <v/>
      </c>
      <c r="Q96" s="1" t="str">
        <f>SUBSTITUTE(CbgIiTables[[#This Row],[Table Name]], " ", "")</f>
        <v/>
      </c>
      <c r="AA96" s="1" t="str">
        <f>SUBSTITUTE(CbgIiColumns[[#This Row],[Name]], " ", "")</f>
        <v/>
      </c>
    </row>
    <row r="97" spans="4:27" x14ac:dyDescent="0.3">
      <c r="D97" s="1" t="str">
        <f>SUBSTITUTE(CbgIiWorkbooks[[#This Row],[Workbook]], " ", "")</f>
        <v/>
      </c>
      <c r="K97" s="1" t="str">
        <f>SUBSTITUTE(CbgIiWorksheets[[#This Row],[Worksheet]], " ", "")</f>
        <v/>
      </c>
      <c r="Q97" s="1" t="str">
        <f>SUBSTITUTE(CbgIiTables[[#This Row],[Table Name]], " ", "")</f>
        <v/>
      </c>
      <c r="AA97" s="1" t="str">
        <f>SUBSTITUTE(CbgIiColumns[[#This Row],[Name]], " ", "")</f>
        <v/>
      </c>
    </row>
    <row r="98" spans="4:27" x14ac:dyDescent="0.3">
      <c r="D98" s="1" t="str">
        <f>SUBSTITUTE(CbgIiWorkbooks[[#This Row],[Workbook]], " ", "")</f>
        <v/>
      </c>
      <c r="K98" s="1" t="str">
        <f>SUBSTITUTE(CbgIiWorksheets[[#This Row],[Worksheet]], " ", "")</f>
        <v/>
      </c>
      <c r="Q98" s="1" t="str">
        <f>SUBSTITUTE(CbgIiTables[[#This Row],[Table Name]], " ", "")</f>
        <v/>
      </c>
      <c r="AA98" s="1" t="str">
        <f>SUBSTITUTE(CbgIiColumns[[#This Row],[Name]], " ", "")</f>
        <v/>
      </c>
    </row>
    <row r="99" spans="4:27" x14ac:dyDescent="0.3">
      <c r="D99" s="1" t="str">
        <f>SUBSTITUTE(CbgIiWorkbooks[[#This Row],[Workbook]], " ", "")</f>
        <v/>
      </c>
      <c r="K99" s="1" t="str">
        <f>SUBSTITUTE(CbgIiWorksheets[[#This Row],[Worksheet]], " ", "")</f>
        <v/>
      </c>
      <c r="Q99" s="1" t="str">
        <f>SUBSTITUTE(CbgIiTables[[#This Row],[Table Name]], " ", "")</f>
        <v/>
      </c>
      <c r="AA99" s="1" t="str">
        <f>SUBSTITUTE(CbgIiColumns[[#This Row],[Name]], " ", "")</f>
        <v/>
      </c>
    </row>
    <row r="100" spans="4:27" x14ac:dyDescent="0.3">
      <c r="D100" s="1" t="str">
        <f>SUBSTITUTE(CbgIiWorkbooks[[#This Row],[Workbook]], " ", "")</f>
        <v/>
      </c>
      <c r="K100" s="1" t="str">
        <f>SUBSTITUTE(CbgIiWorksheets[[#This Row],[Worksheet]], " ", "")</f>
        <v/>
      </c>
      <c r="Q100" s="1" t="str">
        <f>SUBSTITUTE(CbgIiTables[[#This Row],[Table Name]], " ", "")</f>
        <v/>
      </c>
      <c r="AA100" s="1" t="str">
        <f>SUBSTITUTE(CbgIiColumns[[#This Row],[Name]], " ", "")</f>
        <v/>
      </c>
    </row>
    <row r="101" spans="4:27" x14ac:dyDescent="0.3">
      <c r="D101" s="1" t="str">
        <f>SUBSTITUTE(CbgIiWorkbooks[[#This Row],[Workbook]], " ", "")</f>
        <v/>
      </c>
      <c r="K101" s="1" t="str">
        <f>SUBSTITUTE(CbgIiWorksheets[[#This Row],[Worksheet]], " ", "")</f>
        <v/>
      </c>
      <c r="Q101" s="1" t="str">
        <f>SUBSTITUTE(CbgIiTables[[#This Row],[Table Name]], " ", "")</f>
        <v/>
      </c>
      <c r="AA101" s="1" t="str">
        <f>SUBSTITUTE(CbgIiColumns[[#This Row],[Name]], " ", "")</f>
        <v/>
      </c>
    </row>
    <row r="102" spans="4:27" x14ac:dyDescent="0.3">
      <c r="D102" s="1" t="str">
        <f>SUBSTITUTE(CbgIiWorkbooks[[#This Row],[Workbook]], " ", "")</f>
        <v/>
      </c>
      <c r="K102" s="1" t="str">
        <f>SUBSTITUTE(CbgIiWorksheets[[#This Row],[Worksheet]], " ", "")</f>
        <v/>
      </c>
      <c r="Q102" s="1" t="str">
        <f>SUBSTITUTE(CbgIiTables[[#This Row],[Table Name]], " ", "")</f>
        <v/>
      </c>
      <c r="AA102" s="1" t="str">
        <f>SUBSTITUTE(CbgIiColumns[[#This Row],[Name]], " ", "")</f>
        <v/>
      </c>
    </row>
    <row r="103" spans="4:27" x14ac:dyDescent="0.3">
      <c r="D103" s="1" t="str">
        <f>SUBSTITUTE(CbgIiWorkbooks[[#This Row],[Workbook]], " ", "")</f>
        <v/>
      </c>
      <c r="K103" s="1" t="str">
        <f>SUBSTITUTE(CbgIiWorksheets[[#This Row],[Worksheet]], " ", "")</f>
        <v/>
      </c>
      <c r="Q103" s="1" t="str">
        <f>SUBSTITUTE(CbgIiTables[[#This Row],[Table Name]], " ", "")</f>
        <v/>
      </c>
      <c r="AA103" s="1" t="str">
        <f>SUBSTITUTE(CbgIiColumns[[#This Row],[Name]], " ", "")</f>
        <v/>
      </c>
    </row>
    <row r="104" spans="4:27" x14ac:dyDescent="0.3">
      <c r="D104" s="1" t="str">
        <f>SUBSTITUTE(CbgIiWorkbooks[[#This Row],[Workbook]], " ", "")</f>
        <v/>
      </c>
      <c r="K104" s="1" t="str">
        <f>SUBSTITUTE(CbgIiWorksheets[[#This Row],[Worksheet]], " ", "")</f>
        <v/>
      </c>
      <c r="Q104" s="1" t="str">
        <f>SUBSTITUTE(CbgIiTables[[#This Row],[Table Name]], " ", "")</f>
        <v/>
      </c>
      <c r="AA104" s="1" t="str">
        <f>SUBSTITUTE(CbgIiColumns[[#This Row],[Name]], " ", "")</f>
        <v/>
      </c>
    </row>
    <row r="105" spans="4:27" x14ac:dyDescent="0.3">
      <c r="D105" s="1" t="str">
        <f>SUBSTITUTE(CbgIiWorkbooks[[#This Row],[Workbook]], " ", "")</f>
        <v/>
      </c>
      <c r="K105" s="1" t="str">
        <f>SUBSTITUTE(CbgIiWorksheets[[#This Row],[Worksheet]], " ", "")</f>
        <v/>
      </c>
      <c r="Q105" s="1" t="str">
        <f>SUBSTITUTE(CbgIiTables[[#This Row],[Table Name]], " ", "")</f>
        <v/>
      </c>
      <c r="AA105" s="1" t="str">
        <f>SUBSTITUTE(CbgIiColumns[[#This Row],[Name]], " ", "")</f>
        <v/>
      </c>
    </row>
    <row r="106" spans="4:27" x14ac:dyDescent="0.3">
      <c r="D106" s="1" t="str">
        <f>SUBSTITUTE(CbgIiWorkbooks[[#This Row],[Workbook]], " ", "")</f>
        <v/>
      </c>
      <c r="K106" s="1" t="str">
        <f>SUBSTITUTE(CbgIiWorksheets[[#This Row],[Worksheet]], " ", "")</f>
        <v/>
      </c>
      <c r="Q106" s="1" t="str">
        <f>SUBSTITUTE(CbgIiTables[[#This Row],[Table Name]], " ", "")</f>
        <v/>
      </c>
      <c r="AA106" s="1" t="str">
        <f>SUBSTITUTE(CbgIiColumns[[#This Row],[Name]], " ", "")</f>
        <v/>
      </c>
    </row>
    <row r="107" spans="4:27" x14ac:dyDescent="0.3">
      <c r="D107" s="1" t="str">
        <f>SUBSTITUTE(CbgIiWorkbooks[[#This Row],[Workbook]], " ", "")</f>
        <v/>
      </c>
      <c r="K107" s="1" t="str">
        <f>SUBSTITUTE(CbgIiWorksheets[[#This Row],[Worksheet]], " ", "")</f>
        <v/>
      </c>
      <c r="Q107" s="1" t="str">
        <f>SUBSTITUTE(CbgIiTables[[#This Row],[Table Name]], " ", "")</f>
        <v/>
      </c>
      <c r="AA107" s="1" t="str">
        <f>SUBSTITUTE(CbgIiColumns[[#This Row],[Name]], " ", "")</f>
        <v/>
      </c>
    </row>
    <row r="108" spans="4:27" x14ac:dyDescent="0.3">
      <c r="D108" s="1" t="str">
        <f>SUBSTITUTE(CbgIiWorkbooks[[#This Row],[Workbook]], " ", "")</f>
        <v/>
      </c>
      <c r="K108" s="1" t="str">
        <f>SUBSTITUTE(CbgIiWorksheets[[#This Row],[Worksheet]], " ", "")</f>
        <v/>
      </c>
      <c r="Q108" s="1" t="str">
        <f>SUBSTITUTE(CbgIiTables[[#This Row],[Table Name]], " ", "")</f>
        <v/>
      </c>
      <c r="AA108" s="1" t="str">
        <f>SUBSTITUTE(CbgIiColumns[[#This Row],[Name]], " ", "")</f>
        <v/>
      </c>
    </row>
    <row r="109" spans="4:27" x14ac:dyDescent="0.3">
      <c r="D109" s="1" t="str">
        <f>SUBSTITUTE(CbgIiWorkbooks[[#This Row],[Workbook]], " ", "")</f>
        <v/>
      </c>
      <c r="K109" s="1" t="str">
        <f>SUBSTITUTE(CbgIiWorksheets[[#This Row],[Worksheet]], " ", "")</f>
        <v/>
      </c>
      <c r="Q109" s="1" t="str">
        <f>SUBSTITUTE(CbgIiTables[[#This Row],[Table Name]], " ", "")</f>
        <v/>
      </c>
      <c r="AA109" s="1" t="str">
        <f>SUBSTITUTE(CbgIiColumns[[#This Row],[Name]], " ", "")</f>
        <v/>
      </c>
    </row>
    <row r="110" spans="4:27" x14ac:dyDescent="0.3">
      <c r="D110" s="1" t="str">
        <f>SUBSTITUTE(CbgIiWorkbooks[[#This Row],[Workbook]], " ", "")</f>
        <v/>
      </c>
      <c r="K110" s="1" t="str">
        <f>SUBSTITUTE(CbgIiWorksheets[[#This Row],[Worksheet]], " ", "")</f>
        <v/>
      </c>
      <c r="Q110" s="1" t="str">
        <f>SUBSTITUTE(CbgIiTables[[#This Row],[Table Name]], " ", "")</f>
        <v/>
      </c>
      <c r="AA110" s="1" t="str">
        <f>SUBSTITUTE(CbgIiColumns[[#This Row],[Name]], " ", "")</f>
        <v/>
      </c>
    </row>
    <row r="111" spans="4:27" x14ac:dyDescent="0.3">
      <c r="D111" s="1" t="str">
        <f>SUBSTITUTE(CbgIiWorkbooks[[#This Row],[Workbook]], " ", "")</f>
        <v/>
      </c>
      <c r="K111" s="1" t="str">
        <f>SUBSTITUTE(CbgIiWorksheets[[#This Row],[Worksheet]], " ", "")</f>
        <v/>
      </c>
      <c r="Q111" s="1" t="str">
        <f>SUBSTITUTE(CbgIiTables[[#This Row],[Table Name]], " ", "")</f>
        <v/>
      </c>
      <c r="AA111" s="1" t="str">
        <f>SUBSTITUTE(CbgIiColumns[[#This Row],[Name]], " ", "")</f>
        <v/>
      </c>
    </row>
    <row r="112" spans="4:27" x14ac:dyDescent="0.3">
      <c r="D112" s="1" t="str">
        <f>SUBSTITUTE(CbgIiWorkbooks[[#This Row],[Workbook]], " ", "")</f>
        <v/>
      </c>
      <c r="K112" s="1" t="str">
        <f>SUBSTITUTE(CbgIiWorksheets[[#This Row],[Worksheet]], " ", "")</f>
        <v/>
      </c>
      <c r="Q112" s="1" t="str">
        <f>SUBSTITUTE(CbgIiTables[[#This Row],[Table Name]], " ", "")</f>
        <v/>
      </c>
      <c r="AA112" s="1" t="str">
        <f>SUBSTITUTE(CbgIiColumns[[#This Row],[Name]], " ", "")</f>
        <v/>
      </c>
    </row>
    <row r="113" spans="4:27" x14ac:dyDescent="0.3">
      <c r="D113" s="1" t="str">
        <f>SUBSTITUTE(CbgIiWorkbooks[[#This Row],[Workbook]], " ", "")</f>
        <v/>
      </c>
      <c r="K113" s="1" t="str">
        <f>SUBSTITUTE(CbgIiWorksheets[[#This Row],[Worksheet]], " ", "")</f>
        <v/>
      </c>
      <c r="Q113" s="1" t="str">
        <f>SUBSTITUTE(CbgIiTables[[#This Row],[Table Name]], " ", "")</f>
        <v/>
      </c>
      <c r="AA113" s="1" t="str">
        <f>SUBSTITUTE(CbgIiColumns[[#This Row],[Name]], " ", "")</f>
        <v/>
      </c>
    </row>
    <row r="114" spans="4:27" x14ac:dyDescent="0.3">
      <c r="D114" s="1" t="str">
        <f>SUBSTITUTE(CbgIiWorkbooks[[#This Row],[Workbook]], " ", "")</f>
        <v/>
      </c>
      <c r="K114" s="1" t="str">
        <f>SUBSTITUTE(CbgIiWorksheets[[#This Row],[Worksheet]], " ", "")</f>
        <v/>
      </c>
      <c r="Q114" s="1" t="str">
        <f>SUBSTITUTE(CbgIiTables[[#This Row],[Table Name]], " ", "")</f>
        <v/>
      </c>
      <c r="AA114" s="1" t="str">
        <f>SUBSTITUTE(CbgIiColumns[[#This Row],[Name]], " ", "")</f>
        <v/>
      </c>
    </row>
    <row r="115" spans="4:27" x14ac:dyDescent="0.3">
      <c r="D115" s="1" t="str">
        <f>SUBSTITUTE(CbgIiWorkbooks[[#This Row],[Workbook]], " ", "")</f>
        <v/>
      </c>
      <c r="K115" s="1" t="str">
        <f>SUBSTITUTE(CbgIiWorksheets[[#This Row],[Worksheet]], " ", "")</f>
        <v/>
      </c>
      <c r="Q115" s="1" t="str">
        <f>SUBSTITUTE(CbgIiTables[[#This Row],[Table Name]], " ", "")</f>
        <v/>
      </c>
      <c r="AA115" s="1" t="str">
        <f>SUBSTITUTE(CbgIiColumns[[#This Row],[Name]], " ", "")</f>
        <v/>
      </c>
    </row>
    <row r="116" spans="4:27" x14ac:dyDescent="0.3">
      <c r="D116" s="1" t="str">
        <f>SUBSTITUTE(CbgIiWorkbooks[[#This Row],[Workbook]], " ", "")</f>
        <v/>
      </c>
      <c r="K116" s="1" t="str">
        <f>SUBSTITUTE(CbgIiWorksheets[[#This Row],[Worksheet]], " ", "")</f>
        <v/>
      </c>
      <c r="Q116" s="1" t="str">
        <f>SUBSTITUTE(CbgIiTables[[#This Row],[Table Name]], " ", "")</f>
        <v/>
      </c>
      <c r="AA116" s="1" t="str">
        <f>SUBSTITUTE(CbgIiColumns[[#This Row],[Name]], " ", "")</f>
        <v/>
      </c>
    </row>
    <row r="117" spans="4:27" x14ac:dyDescent="0.3">
      <c r="D117" s="1" t="str">
        <f>SUBSTITUTE(CbgIiWorkbooks[[#This Row],[Workbook]], " ", "")</f>
        <v/>
      </c>
      <c r="K117" s="1" t="str">
        <f>SUBSTITUTE(CbgIiWorksheets[[#This Row],[Worksheet]], " ", "")</f>
        <v/>
      </c>
      <c r="Q117" s="1" t="str">
        <f>SUBSTITUTE(CbgIiTables[[#This Row],[Table Name]], " ", "")</f>
        <v/>
      </c>
      <c r="AA117" s="1" t="str">
        <f>SUBSTITUTE(CbgIiColumns[[#This Row],[Name]], " ", "")</f>
        <v/>
      </c>
    </row>
    <row r="118" spans="4:27" x14ac:dyDescent="0.3">
      <c r="D118" s="1" t="str">
        <f>SUBSTITUTE(CbgIiWorkbooks[[#This Row],[Workbook]], " ", "")</f>
        <v/>
      </c>
      <c r="K118" s="1" t="str">
        <f>SUBSTITUTE(CbgIiWorksheets[[#This Row],[Worksheet]], " ", "")</f>
        <v/>
      </c>
      <c r="Q118" s="1" t="str">
        <f>SUBSTITUTE(CbgIiTables[[#This Row],[Table Name]], " ", "")</f>
        <v/>
      </c>
      <c r="AA118" s="1" t="str">
        <f>SUBSTITUTE(CbgIiColumns[[#This Row],[Name]], " ", "")</f>
        <v/>
      </c>
    </row>
    <row r="119" spans="4:27" x14ac:dyDescent="0.3">
      <c r="D119" s="1" t="str">
        <f>SUBSTITUTE(CbgIiWorkbooks[[#This Row],[Workbook]], " ", "")</f>
        <v/>
      </c>
      <c r="K119" s="1" t="str">
        <f>SUBSTITUTE(CbgIiWorksheets[[#This Row],[Worksheet]], " ", "")</f>
        <v/>
      </c>
      <c r="Q119" s="1" t="str">
        <f>SUBSTITUTE(CbgIiTables[[#This Row],[Table Name]], " ", "")</f>
        <v/>
      </c>
      <c r="AA119" s="1" t="str">
        <f>SUBSTITUTE(CbgIiColumns[[#This Row],[Name]], " ", "")</f>
        <v/>
      </c>
    </row>
    <row r="120" spans="4:27" x14ac:dyDescent="0.3">
      <c r="D120" s="1" t="str">
        <f>SUBSTITUTE(CbgIiWorkbooks[[#This Row],[Workbook]], " ", "")</f>
        <v/>
      </c>
      <c r="K120" s="1" t="str">
        <f>SUBSTITUTE(CbgIiWorksheets[[#This Row],[Worksheet]], " ", "")</f>
        <v/>
      </c>
      <c r="Q120" s="1" t="str">
        <f>SUBSTITUTE(CbgIiTables[[#This Row],[Table Name]], " ", "")</f>
        <v/>
      </c>
      <c r="AA120" s="1" t="str">
        <f>SUBSTITUTE(CbgIiColumns[[#This Row],[Name]], " ", "")</f>
        <v/>
      </c>
    </row>
    <row r="121" spans="4:27" x14ac:dyDescent="0.3">
      <c r="D121" s="1" t="str">
        <f>SUBSTITUTE(CbgIiWorkbooks[[#This Row],[Workbook]], " ", "")</f>
        <v/>
      </c>
      <c r="K121" s="1" t="str">
        <f>SUBSTITUTE(CbgIiWorksheets[[#This Row],[Worksheet]], " ", "")</f>
        <v/>
      </c>
      <c r="Q121" s="1" t="str">
        <f>SUBSTITUTE(CbgIiTables[[#This Row],[Table Name]], " ", "")</f>
        <v/>
      </c>
      <c r="AA121" s="1" t="str">
        <f>SUBSTITUTE(CbgIiColumns[[#This Row],[Name]], " ", "")</f>
        <v/>
      </c>
    </row>
    <row r="122" spans="4:27" x14ac:dyDescent="0.3">
      <c r="D122" s="1" t="str">
        <f>SUBSTITUTE(CbgIiWorkbooks[[#This Row],[Workbook]], " ", "")</f>
        <v/>
      </c>
      <c r="K122" s="1" t="str">
        <f>SUBSTITUTE(CbgIiWorksheets[[#This Row],[Worksheet]], " ", "")</f>
        <v/>
      </c>
      <c r="Q122" s="1" t="str">
        <f>SUBSTITUTE(CbgIiTables[[#This Row],[Table Name]], " ", "")</f>
        <v/>
      </c>
      <c r="AA122" s="1" t="str">
        <f>SUBSTITUTE(CbgIiColumns[[#This Row],[Name]], " ", "")</f>
        <v/>
      </c>
    </row>
    <row r="123" spans="4:27" x14ac:dyDescent="0.3">
      <c r="D123" s="1" t="str">
        <f>SUBSTITUTE(CbgIiWorkbooks[[#This Row],[Workbook]], " ", "")</f>
        <v/>
      </c>
      <c r="K123" s="1" t="str">
        <f>SUBSTITUTE(CbgIiWorksheets[[#This Row],[Worksheet]], " ", "")</f>
        <v/>
      </c>
      <c r="Q123" s="1" t="str">
        <f>SUBSTITUTE(CbgIiTables[[#This Row],[Table Name]], " ", "")</f>
        <v/>
      </c>
      <c r="AA123" s="1" t="str">
        <f>SUBSTITUTE(CbgIiColumns[[#This Row],[Name]], " ", "")</f>
        <v/>
      </c>
    </row>
    <row r="124" spans="4:27" x14ac:dyDescent="0.3">
      <c r="D124" s="1" t="str">
        <f>SUBSTITUTE(CbgIiWorkbooks[[#This Row],[Workbook]], " ", "")</f>
        <v/>
      </c>
      <c r="K124" s="1" t="str">
        <f>SUBSTITUTE(CbgIiWorksheets[[#This Row],[Worksheet]], " ", "")</f>
        <v/>
      </c>
      <c r="Q124" s="1" t="str">
        <f>SUBSTITUTE(CbgIiTables[[#This Row],[Table Name]], " ", "")</f>
        <v/>
      </c>
      <c r="AA124" s="1" t="str">
        <f>SUBSTITUTE(CbgIiColumns[[#This Row],[Name]], " ", "")</f>
        <v/>
      </c>
    </row>
    <row r="125" spans="4:27" x14ac:dyDescent="0.3">
      <c r="D125" s="1" t="str">
        <f>SUBSTITUTE(CbgIiWorkbooks[[#This Row],[Workbook]], " ", "")</f>
        <v/>
      </c>
      <c r="K125" s="1" t="str">
        <f>SUBSTITUTE(CbgIiWorksheets[[#This Row],[Worksheet]], " ", "")</f>
        <v/>
      </c>
      <c r="Q125" s="1" t="str">
        <f>SUBSTITUTE(CbgIiTables[[#This Row],[Table Name]], " ", "")</f>
        <v/>
      </c>
      <c r="AA125" s="1" t="str">
        <f>SUBSTITUTE(CbgIiColumns[[#This Row],[Name]], " ", "")</f>
        <v/>
      </c>
    </row>
    <row r="126" spans="4:27" x14ac:dyDescent="0.3">
      <c r="D126" s="1" t="str">
        <f>SUBSTITUTE(CbgIiWorkbooks[[#This Row],[Workbook]], " ", "")</f>
        <v/>
      </c>
      <c r="K126" s="1" t="str">
        <f>SUBSTITUTE(CbgIiWorksheets[[#This Row],[Worksheet]], " ", "")</f>
        <v/>
      </c>
      <c r="Q126" s="1" t="str">
        <f>SUBSTITUTE(CbgIiTables[[#This Row],[Table Name]], " ", "")</f>
        <v/>
      </c>
      <c r="AA126" s="1" t="str">
        <f>SUBSTITUTE(CbgIiColumns[[#This Row],[Name]], " ", "")</f>
        <v/>
      </c>
    </row>
    <row r="127" spans="4:27" x14ac:dyDescent="0.3">
      <c r="D127" s="1" t="str">
        <f>SUBSTITUTE(CbgIiWorkbooks[[#This Row],[Workbook]], " ", "")</f>
        <v/>
      </c>
      <c r="K127" s="1" t="str">
        <f>SUBSTITUTE(CbgIiWorksheets[[#This Row],[Worksheet]], " ", "")</f>
        <v/>
      </c>
      <c r="Q127" s="1" t="str">
        <f>SUBSTITUTE(CbgIiTables[[#This Row],[Table Name]], " ", "")</f>
        <v/>
      </c>
      <c r="AA127" s="1" t="str">
        <f>SUBSTITUTE(CbgIiColumns[[#This Row],[Name]], " ", "")</f>
        <v/>
      </c>
    </row>
    <row r="128" spans="4:27" x14ac:dyDescent="0.3">
      <c r="D128" s="1" t="str">
        <f>SUBSTITUTE(CbgIiWorkbooks[[#This Row],[Workbook]], " ", "")</f>
        <v/>
      </c>
      <c r="K128" s="1" t="str">
        <f>SUBSTITUTE(CbgIiWorksheets[[#This Row],[Worksheet]], " ", "")</f>
        <v/>
      </c>
      <c r="Q128" s="1" t="str">
        <f>SUBSTITUTE(CbgIiTables[[#This Row],[Table Name]], " ", "")</f>
        <v/>
      </c>
      <c r="AA128" s="1" t="str">
        <f>SUBSTITUTE(CbgIiColumns[[#This Row],[Name]], " ", "")</f>
        <v/>
      </c>
    </row>
    <row r="129" spans="4:27" x14ac:dyDescent="0.3">
      <c r="D129" s="1" t="str">
        <f>SUBSTITUTE(CbgIiWorkbooks[[#This Row],[Workbook]], " ", "")</f>
        <v/>
      </c>
      <c r="K129" s="1" t="str">
        <f>SUBSTITUTE(CbgIiWorksheets[[#This Row],[Worksheet]], " ", "")</f>
        <v/>
      </c>
      <c r="Q129" s="1" t="str">
        <f>SUBSTITUTE(CbgIiTables[[#This Row],[Table Name]], " ", "")</f>
        <v/>
      </c>
      <c r="AA129" s="1" t="str">
        <f>SUBSTITUTE(CbgIiColumns[[#This Row],[Name]], " ", "")</f>
        <v/>
      </c>
    </row>
    <row r="130" spans="4:27" x14ac:dyDescent="0.3">
      <c r="D130" s="1" t="str">
        <f>SUBSTITUTE(CbgIiWorkbooks[[#This Row],[Workbook]], " ", "")</f>
        <v/>
      </c>
      <c r="K130" s="1" t="str">
        <f>SUBSTITUTE(CbgIiWorksheets[[#This Row],[Worksheet]], " ", "")</f>
        <v/>
      </c>
      <c r="Q130" s="1" t="str">
        <f>SUBSTITUTE(CbgIiTables[[#This Row],[Table Name]], " ", "")</f>
        <v/>
      </c>
      <c r="AA130" s="1" t="str">
        <f>SUBSTITUTE(CbgIiColumns[[#This Row],[Name]], " ", "")</f>
        <v/>
      </c>
    </row>
    <row r="131" spans="4:27" x14ac:dyDescent="0.3">
      <c r="D131" s="1" t="str">
        <f>SUBSTITUTE(CbgIiWorkbooks[[#This Row],[Workbook]], " ", "")</f>
        <v/>
      </c>
      <c r="K131" s="1" t="str">
        <f>SUBSTITUTE(CbgIiWorksheets[[#This Row],[Worksheet]], " ", "")</f>
        <v/>
      </c>
      <c r="Q131" s="1" t="str">
        <f>SUBSTITUTE(CbgIiTables[[#This Row],[Table Name]], " ", "")</f>
        <v/>
      </c>
      <c r="AA131" s="1" t="str">
        <f>SUBSTITUTE(CbgIiColumns[[#This Row],[Name]], " ", "")</f>
        <v/>
      </c>
    </row>
    <row r="132" spans="4:27" x14ac:dyDescent="0.3">
      <c r="D132" s="1" t="str">
        <f>SUBSTITUTE(CbgIiWorkbooks[[#This Row],[Workbook]], " ", "")</f>
        <v/>
      </c>
      <c r="K132" s="1" t="str">
        <f>SUBSTITUTE(CbgIiWorksheets[[#This Row],[Worksheet]], " ", "")</f>
        <v/>
      </c>
      <c r="Q132" s="1" t="str">
        <f>SUBSTITUTE(CbgIiTables[[#This Row],[Table Name]], " ", "")</f>
        <v/>
      </c>
      <c r="AA132" s="1" t="str">
        <f>SUBSTITUTE(CbgIiColumns[[#This Row],[Name]], " ", "")</f>
        <v/>
      </c>
    </row>
    <row r="133" spans="4:27" x14ac:dyDescent="0.3">
      <c r="D133" s="1" t="str">
        <f>SUBSTITUTE(CbgIiWorkbooks[[#This Row],[Workbook]], " ", "")</f>
        <v/>
      </c>
      <c r="K133" s="1" t="str">
        <f>SUBSTITUTE(CbgIiWorksheets[[#This Row],[Worksheet]], " ", "")</f>
        <v/>
      </c>
      <c r="Q133" s="1" t="str">
        <f>SUBSTITUTE(CbgIiTables[[#This Row],[Table Name]], " ", "")</f>
        <v/>
      </c>
      <c r="AA133" s="1" t="str">
        <f>SUBSTITUTE(CbgIiColumns[[#This Row],[Name]], " ", "")</f>
        <v/>
      </c>
    </row>
    <row r="134" spans="4:27" x14ac:dyDescent="0.3">
      <c r="D134" s="1" t="str">
        <f>SUBSTITUTE(CbgIiWorkbooks[[#This Row],[Workbook]], " ", "")</f>
        <v/>
      </c>
      <c r="K134" s="1" t="str">
        <f>SUBSTITUTE(CbgIiWorksheets[[#This Row],[Worksheet]], " ", "")</f>
        <v/>
      </c>
      <c r="Q134" s="1" t="str">
        <f>SUBSTITUTE(CbgIiTables[[#This Row],[Table Name]], " ", "")</f>
        <v/>
      </c>
      <c r="AA134" s="1" t="str">
        <f>SUBSTITUTE(CbgIiColumns[[#This Row],[Name]], " ", "")</f>
        <v/>
      </c>
    </row>
    <row r="135" spans="4:27" x14ac:dyDescent="0.3">
      <c r="D135" s="1" t="str">
        <f>SUBSTITUTE(CbgIiWorkbooks[[#This Row],[Workbook]], " ", "")</f>
        <v/>
      </c>
      <c r="K135" s="1" t="str">
        <f>SUBSTITUTE(CbgIiWorksheets[[#This Row],[Worksheet]], " ", "")</f>
        <v/>
      </c>
      <c r="Q135" s="1" t="str">
        <f>SUBSTITUTE(CbgIiTables[[#This Row],[Table Name]], " ", "")</f>
        <v/>
      </c>
      <c r="AA135" s="1" t="str">
        <f>SUBSTITUTE(CbgIiColumns[[#This Row],[Name]], " ", "")</f>
        <v/>
      </c>
    </row>
    <row r="136" spans="4:27" x14ac:dyDescent="0.3">
      <c r="D136" s="1" t="str">
        <f>SUBSTITUTE(CbgIiWorkbooks[[#This Row],[Workbook]], " ", "")</f>
        <v/>
      </c>
      <c r="K136" s="1" t="str">
        <f>SUBSTITUTE(CbgIiWorksheets[[#This Row],[Worksheet]], " ", "")</f>
        <v/>
      </c>
      <c r="Q136" s="1" t="str">
        <f>SUBSTITUTE(CbgIiTables[[#This Row],[Table Name]], " ", "")</f>
        <v/>
      </c>
      <c r="AA136" s="1" t="str">
        <f>SUBSTITUTE(CbgIiColumns[[#This Row],[Name]], " ", "")</f>
        <v/>
      </c>
    </row>
    <row r="137" spans="4:27" x14ac:dyDescent="0.3">
      <c r="D137" s="1" t="str">
        <f>SUBSTITUTE(CbgIiWorkbooks[[#This Row],[Workbook]], " ", "")</f>
        <v/>
      </c>
      <c r="K137" s="1" t="str">
        <f>SUBSTITUTE(CbgIiWorksheets[[#This Row],[Worksheet]], " ", "")</f>
        <v/>
      </c>
      <c r="Q137" s="1" t="str">
        <f>SUBSTITUTE(CbgIiTables[[#This Row],[Table Name]], " ", "")</f>
        <v/>
      </c>
      <c r="AA137" s="1" t="str">
        <f>SUBSTITUTE(CbgIiColumns[[#This Row],[Name]], " ", "")</f>
        <v/>
      </c>
    </row>
    <row r="138" spans="4:27" x14ac:dyDescent="0.3">
      <c r="D138" s="1" t="str">
        <f>SUBSTITUTE(CbgIiWorkbooks[[#This Row],[Workbook]], " ", "")</f>
        <v/>
      </c>
      <c r="K138" s="1" t="str">
        <f>SUBSTITUTE(CbgIiWorksheets[[#This Row],[Worksheet]], " ", "")</f>
        <v/>
      </c>
      <c r="Q138" s="1" t="str">
        <f>SUBSTITUTE(CbgIiTables[[#This Row],[Table Name]], " ", "")</f>
        <v/>
      </c>
      <c r="AA138" s="1" t="str">
        <f>SUBSTITUTE(CbgIiColumns[[#This Row],[Name]], " ", "")</f>
        <v/>
      </c>
    </row>
    <row r="139" spans="4:27" x14ac:dyDescent="0.3">
      <c r="D139" s="1" t="str">
        <f>SUBSTITUTE(CbgIiWorkbooks[[#This Row],[Workbook]], " ", "")</f>
        <v/>
      </c>
      <c r="K139" s="1" t="str">
        <f>SUBSTITUTE(CbgIiWorksheets[[#This Row],[Worksheet]], " ", "")</f>
        <v/>
      </c>
      <c r="Q139" s="1" t="str">
        <f>SUBSTITUTE(CbgIiTables[[#This Row],[Table Name]], " ", "")</f>
        <v/>
      </c>
      <c r="AA139" s="1" t="str">
        <f>SUBSTITUTE(CbgIiColumns[[#This Row],[Name]], " ", "")</f>
        <v/>
      </c>
    </row>
    <row r="140" spans="4:27" x14ac:dyDescent="0.3">
      <c r="D140" s="1" t="str">
        <f>SUBSTITUTE(CbgIiWorkbooks[[#This Row],[Workbook]], " ", "")</f>
        <v/>
      </c>
      <c r="K140" s="1" t="str">
        <f>SUBSTITUTE(CbgIiWorksheets[[#This Row],[Worksheet]], " ", "")</f>
        <v/>
      </c>
      <c r="Q140" s="1" t="str">
        <f>SUBSTITUTE(CbgIiTables[[#This Row],[Table Name]], " ", "")</f>
        <v/>
      </c>
      <c r="AA140" s="1" t="str">
        <f>SUBSTITUTE(CbgIiColumns[[#This Row],[Name]], " ", "")</f>
        <v/>
      </c>
    </row>
    <row r="141" spans="4:27" x14ac:dyDescent="0.3">
      <c r="D141" s="1" t="str">
        <f>SUBSTITUTE(CbgIiWorkbooks[[#This Row],[Workbook]], " ", "")</f>
        <v/>
      </c>
      <c r="K141" s="1" t="str">
        <f>SUBSTITUTE(CbgIiWorksheets[[#This Row],[Worksheet]], " ", "")</f>
        <v/>
      </c>
      <c r="Q141" s="1" t="str">
        <f>SUBSTITUTE(CbgIiTables[[#This Row],[Table Name]], " ", "")</f>
        <v/>
      </c>
      <c r="AA141" s="1" t="str">
        <f>SUBSTITUTE(CbgIiColumns[[#This Row],[Name]], " ", "")</f>
        <v/>
      </c>
    </row>
    <row r="142" spans="4:27" x14ac:dyDescent="0.3">
      <c r="D142" s="1" t="str">
        <f>SUBSTITUTE(CbgIiWorkbooks[[#This Row],[Workbook]], " ", "")</f>
        <v/>
      </c>
      <c r="K142" s="1" t="str">
        <f>SUBSTITUTE(CbgIiWorksheets[[#This Row],[Worksheet]], " ", "")</f>
        <v/>
      </c>
      <c r="Q142" s="1" t="str">
        <f>SUBSTITUTE(CbgIiTables[[#This Row],[Table Name]], " ", "")</f>
        <v/>
      </c>
      <c r="AA142" s="1" t="str">
        <f>SUBSTITUTE(CbgIiColumns[[#This Row],[Name]], " ", "")</f>
        <v/>
      </c>
    </row>
    <row r="143" spans="4:27" x14ac:dyDescent="0.3">
      <c r="D143" s="1" t="str">
        <f>SUBSTITUTE(CbgIiWorkbooks[[#This Row],[Workbook]], " ", "")</f>
        <v/>
      </c>
      <c r="K143" s="1" t="str">
        <f>SUBSTITUTE(CbgIiWorksheets[[#This Row],[Worksheet]], " ", "")</f>
        <v/>
      </c>
      <c r="Q143" s="1" t="str">
        <f>SUBSTITUTE(CbgIiTables[[#This Row],[Table Name]], " ", "")</f>
        <v/>
      </c>
      <c r="AA143" s="1" t="str">
        <f>SUBSTITUTE(CbgIiColumns[[#This Row],[Name]], " ", "")</f>
        <v/>
      </c>
    </row>
    <row r="144" spans="4:27" x14ac:dyDescent="0.3">
      <c r="D144" s="1" t="str">
        <f>SUBSTITUTE(CbgIiWorkbooks[[#This Row],[Workbook]], " ", "")</f>
        <v/>
      </c>
      <c r="K144" s="1" t="str">
        <f>SUBSTITUTE(CbgIiWorksheets[[#This Row],[Worksheet]], " ", "")</f>
        <v/>
      </c>
      <c r="Q144" s="1" t="str">
        <f>SUBSTITUTE(CbgIiTables[[#This Row],[Table Name]], " ", "")</f>
        <v/>
      </c>
      <c r="AA144" s="1" t="str">
        <f>SUBSTITUTE(CbgIiColumns[[#This Row],[Name]], " ", "")</f>
        <v/>
      </c>
    </row>
    <row r="145" spans="4:27" x14ac:dyDescent="0.3">
      <c r="D145" s="1" t="str">
        <f>SUBSTITUTE(CbgIiWorkbooks[[#This Row],[Workbook]], " ", "")</f>
        <v/>
      </c>
      <c r="K145" s="1" t="str">
        <f>SUBSTITUTE(CbgIiWorksheets[[#This Row],[Worksheet]], " ", "")</f>
        <v/>
      </c>
      <c r="Q145" s="1" t="str">
        <f>SUBSTITUTE(CbgIiTables[[#This Row],[Table Name]], " ", "")</f>
        <v/>
      </c>
      <c r="AA145" s="1" t="str">
        <f>SUBSTITUTE(CbgIiColumns[[#This Row],[Name]], " ", "")</f>
        <v/>
      </c>
    </row>
    <row r="146" spans="4:27" x14ac:dyDescent="0.3">
      <c r="D146" s="1" t="str">
        <f>SUBSTITUTE(CbgIiWorkbooks[[#This Row],[Workbook]], " ", "")</f>
        <v/>
      </c>
      <c r="K146" s="1" t="str">
        <f>SUBSTITUTE(CbgIiWorksheets[[#This Row],[Worksheet]], " ", "")</f>
        <v/>
      </c>
      <c r="Q146" s="1" t="str">
        <f>SUBSTITUTE(CbgIiTables[[#This Row],[Table Name]], " ", "")</f>
        <v/>
      </c>
      <c r="AA146" s="1" t="str">
        <f>SUBSTITUTE(CbgIiColumns[[#This Row],[Name]], " ", "")</f>
        <v/>
      </c>
    </row>
    <row r="147" spans="4:27" x14ac:dyDescent="0.3">
      <c r="D147" s="1" t="str">
        <f>SUBSTITUTE(CbgIiWorkbooks[[#This Row],[Workbook]], " ", "")</f>
        <v/>
      </c>
      <c r="K147" s="1" t="str">
        <f>SUBSTITUTE(CbgIiWorksheets[[#This Row],[Worksheet]], " ", "")</f>
        <v/>
      </c>
      <c r="Q147" s="1" t="str">
        <f>SUBSTITUTE(CbgIiTables[[#This Row],[Table Name]], " ", "")</f>
        <v/>
      </c>
      <c r="AA147" s="1" t="str">
        <f>SUBSTITUTE(CbgIiColumns[[#This Row],[Name]], " ", "")</f>
        <v/>
      </c>
    </row>
    <row r="148" spans="4:27" x14ac:dyDescent="0.3">
      <c r="D148" s="1" t="str">
        <f>SUBSTITUTE(CbgIiWorkbooks[[#This Row],[Workbook]], " ", "")</f>
        <v/>
      </c>
      <c r="K148" s="1" t="str">
        <f>SUBSTITUTE(CbgIiWorksheets[[#This Row],[Worksheet]], " ", "")</f>
        <v/>
      </c>
      <c r="Q148" s="1" t="str">
        <f>SUBSTITUTE(CbgIiTables[[#This Row],[Table Name]], " ", "")</f>
        <v/>
      </c>
      <c r="AA148" s="1" t="str">
        <f>SUBSTITUTE(CbgIiColumns[[#This Row],[Name]], " ", "")</f>
        <v/>
      </c>
    </row>
    <row r="149" spans="4:27" x14ac:dyDescent="0.3">
      <c r="D149" s="1" t="str">
        <f>SUBSTITUTE(CbgIiWorkbooks[[#This Row],[Workbook]], " ", "")</f>
        <v/>
      </c>
      <c r="K149" s="1" t="str">
        <f>SUBSTITUTE(CbgIiWorksheets[[#This Row],[Worksheet]], " ", "")</f>
        <v/>
      </c>
      <c r="Q149" s="1" t="str">
        <f>SUBSTITUTE(CbgIiTables[[#This Row],[Table Name]], " ", "")</f>
        <v/>
      </c>
      <c r="AA149" s="1" t="str">
        <f>SUBSTITUTE(CbgIiColumns[[#This Row],[Name]], " ", "")</f>
        <v/>
      </c>
    </row>
    <row r="150" spans="4:27" x14ac:dyDescent="0.3">
      <c r="D150" s="1" t="str">
        <f>SUBSTITUTE(CbgIiWorkbooks[[#This Row],[Workbook]], " ", "")</f>
        <v/>
      </c>
      <c r="K150" s="1" t="str">
        <f>SUBSTITUTE(CbgIiWorksheets[[#This Row],[Worksheet]], " ", "")</f>
        <v/>
      </c>
      <c r="Q150" s="1" t="str">
        <f>SUBSTITUTE(CbgIiTables[[#This Row],[Table Name]], " ", "")</f>
        <v/>
      </c>
      <c r="AA150" s="1" t="str">
        <f>SUBSTITUTE(CbgIiColumns[[#This Row],[Name]], " ", "")</f>
        <v/>
      </c>
    </row>
    <row r="151" spans="4:27" x14ac:dyDescent="0.3">
      <c r="D151" s="1" t="str">
        <f>SUBSTITUTE(CbgIiWorkbooks[[#This Row],[Workbook]], " ", "")</f>
        <v/>
      </c>
      <c r="K151" s="1" t="str">
        <f>SUBSTITUTE(CbgIiWorksheets[[#This Row],[Worksheet]], " ", "")</f>
        <v/>
      </c>
      <c r="Q151" s="1" t="str">
        <f>SUBSTITUTE(CbgIiTables[[#This Row],[Table Name]], " ", "")</f>
        <v/>
      </c>
      <c r="AA151" s="1" t="str">
        <f>SUBSTITUTE(CbgIiColumns[[#This Row],[Name]], " ", "")</f>
        <v/>
      </c>
    </row>
    <row r="152" spans="4:27" x14ac:dyDescent="0.3">
      <c r="D152" s="1" t="str">
        <f>SUBSTITUTE(CbgIiWorkbooks[[#This Row],[Workbook]], " ", "")</f>
        <v/>
      </c>
      <c r="K152" s="1" t="str">
        <f>SUBSTITUTE(CbgIiWorksheets[[#This Row],[Worksheet]], " ", "")</f>
        <v/>
      </c>
      <c r="Q152" s="1" t="str">
        <f>SUBSTITUTE(CbgIiTables[[#This Row],[Table Name]], " ", "")</f>
        <v/>
      </c>
      <c r="AA152" s="1" t="str">
        <f>SUBSTITUTE(CbgIiColumns[[#This Row],[Name]], " ", "")</f>
        <v/>
      </c>
    </row>
    <row r="153" spans="4:27" x14ac:dyDescent="0.3">
      <c r="D153" s="1" t="str">
        <f>SUBSTITUTE(CbgIiWorkbooks[[#This Row],[Workbook]], " ", "")</f>
        <v/>
      </c>
      <c r="K153" s="1" t="str">
        <f>SUBSTITUTE(CbgIiWorksheets[[#This Row],[Worksheet]], " ", "")</f>
        <v/>
      </c>
      <c r="Q153" s="1" t="str">
        <f>SUBSTITUTE(CbgIiTables[[#This Row],[Table Name]], " ", "")</f>
        <v/>
      </c>
      <c r="AA153" s="1" t="str">
        <f>SUBSTITUTE(CbgIiColumns[[#This Row],[Name]], " ", "")</f>
        <v/>
      </c>
    </row>
    <row r="154" spans="4:27" x14ac:dyDescent="0.3">
      <c r="D154" s="1" t="str">
        <f>SUBSTITUTE(CbgIiWorkbooks[[#This Row],[Workbook]], " ", "")</f>
        <v/>
      </c>
      <c r="K154" s="1" t="str">
        <f>SUBSTITUTE(CbgIiWorksheets[[#This Row],[Worksheet]], " ", "")</f>
        <v/>
      </c>
      <c r="Q154" s="1" t="str">
        <f>SUBSTITUTE(CbgIiTables[[#This Row],[Table Name]], " ", "")</f>
        <v/>
      </c>
      <c r="AA154" s="1" t="str">
        <f>SUBSTITUTE(CbgIiColumns[[#This Row],[Name]], " ", "")</f>
        <v/>
      </c>
    </row>
    <row r="155" spans="4:27" x14ac:dyDescent="0.3">
      <c r="D155" s="1" t="str">
        <f>SUBSTITUTE(CbgIiWorkbooks[[#This Row],[Workbook]], " ", "")</f>
        <v/>
      </c>
      <c r="K155" s="1" t="str">
        <f>SUBSTITUTE(CbgIiWorksheets[[#This Row],[Worksheet]], " ", "")</f>
        <v/>
      </c>
      <c r="Q155" s="1" t="str">
        <f>SUBSTITUTE(CbgIiTables[[#This Row],[Table Name]], " ", "")</f>
        <v/>
      </c>
      <c r="AA155" s="1" t="str">
        <f>SUBSTITUTE(CbgIiColumns[[#This Row],[Name]], " ", "")</f>
        <v/>
      </c>
    </row>
    <row r="156" spans="4:27" x14ac:dyDescent="0.3">
      <c r="D156" s="1" t="str">
        <f>SUBSTITUTE(CbgIiWorkbooks[[#This Row],[Workbook]], " ", "")</f>
        <v/>
      </c>
      <c r="K156" s="1" t="str">
        <f>SUBSTITUTE(CbgIiWorksheets[[#This Row],[Worksheet]], " ", "")</f>
        <v/>
      </c>
      <c r="Q156" s="1" t="str">
        <f>SUBSTITUTE(CbgIiTables[[#This Row],[Table Name]], " ", "")</f>
        <v/>
      </c>
      <c r="AA156" s="1" t="str">
        <f>SUBSTITUTE(CbgIiColumns[[#This Row],[Name]], " ", "")</f>
        <v/>
      </c>
    </row>
    <row r="157" spans="4:27" x14ac:dyDescent="0.3">
      <c r="D157" s="1" t="str">
        <f>SUBSTITUTE(CbgIiWorkbooks[[#This Row],[Workbook]], " ", "")</f>
        <v/>
      </c>
      <c r="K157" s="1" t="str">
        <f>SUBSTITUTE(CbgIiWorksheets[[#This Row],[Worksheet]], " ", "")</f>
        <v/>
      </c>
      <c r="Q157" s="1" t="str">
        <f>SUBSTITUTE(CbgIiTables[[#This Row],[Table Name]], " ", "")</f>
        <v/>
      </c>
      <c r="AA157" s="1" t="str">
        <f>SUBSTITUTE(CbgIiColumns[[#This Row],[Name]], " ", "")</f>
        <v/>
      </c>
    </row>
    <row r="158" spans="4:27" x14ac:dyDescent="0.3">
      <c r="D158" s="1" t="str">
        <f>SUBSTITUTE(CbgIiWorkbooks[[#This Row],[Workbook]], " ", "")</f>
        <v/>
      </c>
      <c r="K158" s="1" t="str">
        <f>SUBSTITUTE(CbgIiWorksheets[[#This Row],[Worksheet]], " ", "")</f>
        <v/>
      </c>
      <c r="Q158" s="1" t="str">
        <f>SUBSTITUTE(CbgIiTables[[#This Row],[Table Name]], " ", "")</f>
        <v/>
      </c>
      <c r="AA158" s="1" t="str">
        <f>SUBSTITUTE(CbgIiColumns[[#This Row],[Name]], " ", "")</f>
        <v/>
      </c>
    </row>
    <row r="159" spans="4:27" x14ac:dyDescent="0.3">
      <c r="D159" s="1" t="str">
        <f>SUBSTITUTE(CbgIiWorkbooks[[#This Row],[Workbook]], " ", "")</f>
        <v/>
      </c>
      <c r="K159" s="1" t="str">
        <f>SUBSTITUTE(CbgIiWorksheets[[#This Row],[Worksheet]], " ", "")</f>
        <v/>
      </c>
      <c r="Q159" s="1" t="str">
        <f>SUBSTITUTE(CbgIiTables[[#This Row],[Table Name]], " ", "")</f>
        <v/>
      </c>
      <c r="AA159" s="1" t="str">
        <f>SUBSTITUTE(CbgIiColumns[[#This Row],[Name]], " ", "")</f>
        <v/>
      </c>
    </row>
    <row r="160" spans="4:27" x14ac:dyDescent="0.3">
      <c r="D160" s="1" t="str">
        <f>SUBSTITUTE(CbgIiWorkbooks[[#This Row],[Workbook]], " ", "")</f>
        <v/>
      </c>
      <c r="K160" s="1" t="str">
        <f>SUBSTITUTE(CbgIiWorksheets[[#This Row],[Worksheet]], " ", "")</f>
        <v/>
      </c>
      <c r="Q160" s="1" t="str">
        <f>SUBSTITUTE(CbgIiTables[[#This Row],[Table Name]], " ", "")</f>
        <v/>
      </c>
      <c r="AA160" s="1" t="str">
        <f>SUBSTITUTE(CbgIiColumns[[#This Row],[Name]], " ", "")</f>
        <v/>
      </c>
    </row>
    <row r="161" spans="4:27" x14ac:dyDescent="0.3">
      <c r="D161" s="1" t="str">
        <f>SUBSTITUTE(CbgIiWorkbooks[[#This Row],[Workbook]], " ", "")</f>
        <v/>
      </c>
      <c r="K161" s="1" t="str">
        <f>SUBSTITUTE(CbgIiWorksheets[[#This Row],[Worksheet]], " ", "")</f>
        <v/>
      </c>
      <c r="Q161" s="1" t="str">
        <f>SUBSTITUTE(CbgIiTables[[#This Row],[Table Name]], " ", "")</f>
        <v/>
      </c>
      <c r="AA161" s="1" t="str">
        <f>SUBSTITUTE(CbgIiColumns[[#This Row],[Name]], " ", "")</f>
        <v/>
      </c>
    </row>
    <row r="162" spans="4:27" x14ac:dyDescent="0.3">
      <c r="D162" s="1" t="str">
        <f>SUBSTITUTE(CbgIiWorkbooks[[#This Row],[Workbook]], " ", "")</f>
        <v/>
      </c>
      <c r="K162" s="1" t="str">
        <f>SUBSTITUTE(CbgIiWorksheets[[#This Row],[Worksheet]], " ", "")</f>
        <v/>
      </c>
      <c r="Q162" s="1" t="str">
        <f>SUBSTITUTE(CbgIiTables[[#This Row],[Table Name]], " ", "")</f>
        <v/>
      </c>
      <c r="AA162" s="1" t="str">
        <f>SUBSTITUTE(CbgIiColumns[[#This Row],[Name]], " ", "")</f>
        <v/>
      </c>
    </row>
    <row r="163" spans="4:27" x14ac:dyDescent="0.3">
      <c r="D163" s="1" t="str">
        <f>SUBSTITUTE(CbgIiWorkbooks[[#This Row],[Workbook]], " ", "")</f>
        <v/>
      </c>
      <c r="K163" s="1" t="str">
        <f>SUBSTITUTE(CbgIiWorksheets[[#This Row],[Worksheet]], " ", "")</f>
        <v/>
      </c>
      <c r="Q163" s="1" t="str">
        <f>SUBSTITUTE(CbgIiTables[[#This Row],[Table Name]], " ", "")</f>
        <v/>
      </c>
      <c r="AA163" s="1" t="str">
        <f>SUBSTITUTE(CbgIiColumns[[#This Row],[Name]], " ", "")</f>
        <v/>
      </c>
    </row>
    <row r="164" spans="4:27" x14ac:dyDescent="0.3">
      <c r="D164" s="1" t="str">
        <f>SUBSTITUTE(CbgIiWorkbooks[[#This Row],[Workbook]], " ", "")</f>
        <v/>
      </c>
      <c r="K164" s="1" t="str">
        <f>SUBSTITUTE(CbgIiWorksheets[[#This Row],[Worksheet]], " ", "")</f>
        <v/>
      </c>
      <c r="Q164" s="1" t="str">
        <f>SUBSTITUTE(CbgIiTables[[#This Row],[Table Name]], " ", "")</f>
        <v/>
      </c>
      <c r="AA164" s="1" t="str">
        <f>SUBSTITUTE(CbgIiColumns[[#This Row],[Name]], " ", "")</f>
        <v/>
      </c>
    </row>
    <row r="165" spans="4:27" x14ac:dyDescent="0.3">
      <c r="D165" s="1" t="str">
        <f>SUBSTITUTE(CbgIiWorkbooks[[#This Row],[Workbook]], " ", "")</f>
        <v/>
      </c>
      <c r="K165" s="1" t="str">
        <f>SUBSTITUTE(CbgIiWorksheets[[#This Row],[Worksheet]], " ", "")</f>
        <v/>
      </c>
      <c r="Q165" s="1" t="str">
        <f>SUBSTITUTE(CbgIiTables[[#This Row],[Table Name]], " ", "")</f>
        <v/>
      </c>
      <c r="AA165" s="1" t="str">
        <f>SUBSTITUTE(CbgIiColumns[[#This Row],[Name]], " ", "")</f>
        <v/>
      </c>
    </row>
    <row r="166" spans="4:27" x14ac:dyDescent="0.3">
      <c r="D166" s="1" t="str">
        <f>SUBSTITUTE(CbgIiWorkbooks[[#This Row],[Workbook]], " ", "")</f>
        <v/>
      </c>
      <c r="K166" s="1" t="str">
        <f>SUBSTITUTE(CbgIiWorksheets[[#This Row],[Worksheet]], " ", "")</f>
        <v/>
      </c>
      <c r="Q166" s="1" t="str">
        <f>SUBSTITUTE(CbgIiTables[[#This Row],[Table Name]], " ", "")</f>
        <v/>
      </c>
      <c r="AA166" s="1" t="str">
        <f>SUBSTITUTE(CbgIiColumns[[#This Row],[Name]], " ", "")</f>
        <v/>
      </c>
    </row>
    <row r="167" spans="4:27" x14ac:dyDescent="0.3">
      <c r="D167" s="1" t="str">
        <f>SUBSTITUTE(CbgIiWorkbooks[[#This Row],[Workbook]], " ", "")</f>
        <v/>
      </c>
      <c r="K167" s="1" t="str">
        <f>SUBSTITUTE(CbgIiWorksheets[[#This Row],[Worksheet]], " ", "")</f>
        <v/>
      </c>
      <c r="Q167" s="1" t="str">
        <f>SUBSTITUTE(CbgIiTables[[#This Row],[Table Name]], " ", "")</f>
        <v/>
      </c>
      <c r="AA167" s="1" t="str">
        <f>SUBSTITUTE(CbgIiColumns[[#This Row],[Name]], " ", "")</f>
        <v/>
      </c>
    </row>
    <row r="168" spans="4:27" x14ac:dyDescent="0.3">
      <c r="D168" s="1" t="str">
        <f>SUBSTITUTE(CbgIiWorkbooks[[#This Row],[Workbook]], " ", "")</f>
        <v/>
      </c>
      <c r="K168" s="1" t="str">
        <f>SUBSTITUTE(CbgIiWorksheets[[#This Row],[Worksheet]], " ", "")</f>
        <v/>
      </c>
      <c r="Q168" s="1" t="str">
        <f>SUBSTITUTE(CbgIiTables[[#This Row],[Table Name]], " ", "")</f>
        <v/>
      </c>
      <c r="AA168" s="1" t="str">
        <f>SUBSTITUTE(CbgIiColumns[[#This Row],[Name]], " ", "")</f>
        <v/>
      </c>
    </row>
    <row r="169" spans="4:27" x14ac:dyDescent="0.3">
      <c r="D169" s="1" t="str">
        <f>SUBSTITUTE(CbgIiWorkbooks[[#This Row],[Workbook]], " ", "")</f>
        <v/>
      </c>
      <c r="K169" s="1" t="str">
        <f>SUBSTITUTE(CbgIiWorksheets[[#This Row],[Worksheet]], " ", "")</f>
        <v/>
      </c>
      <c r="Q169" s="1" t="str">
        <f>SUBSTITUTE(CbgIiTables[[#This Row],[Table Name]], " ", "")</f>
        <v/>
      </c>
      <c r="AA169" s="1" t="str">
        <f>SUBSTITUTE(CbgIiColumns[[#This Row],[Name]], " ", "")</f>
        <v/>
      </c>
    </row>
    <row r="170" spans="4:27" x14ac:dyDescent="0.3">
      <c r="D170" s="1" t="str">
        <f>SUBSTITUTE(CbgIiWorkbooks[[#This Row],[Workbook]], " ", "")</f>
        <v/>
      </c>
      <c r="K170" s="1" t="str">
        <f>SUBSTITUTE(CbgIiWorksheets[[#This Row],[Worksheet]], " ", "")</f>
        <v/>
      </c>
      <c r="Q170" s="1" t="str">
        <f>SUBSTITUTE(CbgIiTables[[#This Row],[Table Name]], " ", "")</f>
        <v/>
      </c>
      <c r="AA170" s="1" t="str">
        <f>SUBSTITUTE(CbgIiColumns[[#This Row],[Name]], " ", "")</f>
        <v/>
      </c>
    </row>
    <row r="171" spans="4:27" x14ac:dyDescent="0.3">
      <c r="D171" s="1" t="str">
        <f>SUBSTITUTE(CbgIiWorkbooks[[#This Row],[Workbook]], " ", "")</f>
        <v/>
      </c>
      <c r="K171" s="1" t="str">
        <f>SUBSTITUTE(CbgIiWorksheets[[#This Row],[Worksheet]], " ", "")</f>
        <v/>
      </c>
      <c r="Q171" s="1" t="str">
        <f>SUBSTITUTE(CbgIiTables[[#This Row],[Table Name]], " ", "")</f>
        <v/>
      </c>
      <c r="AA171" s="1" t="str">
        <f>SUBSTITUTE(CbgIiColumns[[#This Row],[Name]], " ", "")</f>
        <v/>
      </c>
    </row>
    <row r="172" spans="4:27" x14ac:dyDescent="0.3">
      <c r="D172" s="1" t="str">
        <f>SUBSTITUTE(CbgIiWorkbooks[[#This Row],[Workbook]], " ", "")</f>
        <v/>
      </c>
      <c r="K172" s="1" t="str">
        <f>SUBSTITUTE(CbgIiWorksheets[[#This Row],[Worksheet]], " ", "")</f>
        <v/>
      </c>
      <c r="Q172" s="1" t="str">
        <f>SUBSTITUTE(CbgIiTables[[#This Row],[Table Name]], " ", "")</f>
        <v/>
      </c>
      <c r="AA172" s="1" t="str">
        <f>SUBSTITUTE(CbgIiColumns[[#This Row],[Name]], " ", "")</f>
        <v/>
      </c>
    </row>
    <row r="173" spans="4:27" x14ac:dyDescent="0.3">
      <c r="D173" s="1" t="str">
        <f>SUBSTITUTE(CbgIiWorkbooks[[#This Row],[Workbook]], " ", "")</f>
        <v/>
      </c>
      <c r="K173" s="1" t="str">
        <f>SUBSTITUTE(CbgIiWorksheets[[#This Row],[Worksheet]], " ", "")</f>
        <v/>
      </c>
      <c r="Q173" s="1" t="str">
        <f>SUBSTITUTE(CbgIiTables[[#This Row],[Table Name]], " ", "")</f>
        <v/>
      </c>
      <c r="AA173" s="1" t="str">
        <f>SUBSTITUTE(CbgIiColumns[[#This Row],[Name]], " ", "")</f>
        <v/>
      </c>
    </row>
    <row r="174" spans="4:27" x14ac:dyDescent="0.3">
      <c r="D174" s="1" t="str">
        <f>SUBSTITUTE(CbgIiWorkbooks[[#This Row],[Workbook]], " ", "")</f>
        <v/>
      </c>
      <c r="K174" s="1" t="str">
        <f>SUBSTITUTE(CbgIiWorksheets[[#This Row],[Worksheet]], " ", "")</f>
        <v/>
      </c>
      <c r="Q174" s="1" t="str">
        <f>SUBSTITUTE(CbgIiTables[[#This Row],[Table Name]], " ", "")</f>
        <v/>
      </c>
      <c r="AA174" s="1" t="str">
        <f>SUBSTITUTE(CbgIiColumns[[#This Row],[Name]], " ", "")</f>
        <v/>
      </c>
    </row>
    <row r="175" spans="4:27" x14ac:dyDescent="0.3">
      <c r="D175" s="1" t="str">
        <f>SUBSTITUTE(CbgIiWorkbooks[[#This Row],[Workbook]], " ", "")</f>
        <v/>
      </c>
      <c r="K175" s="1" t="str">
        <f>SUBSTITUTE(CbgIiWorksheets[[#This Row],[Worksheet]], " ", "")</f>
        <v/>
      </c>
      <c r="Q175" s="1" t="str">
        <f>SUBSTITUTE(CbgIiTables[[#This Row],[Table Name]], " ", "")</f>
        <v/>
      </c>
      <c r="AA175" s="1" t="str">
        <f>SUBSTITUTE(CbgIiColumns[[#This Row],[Name]], " ", "")</f>
        <v/>
      </c>
    </row>
    <row r="176" spans="4:27" x14ac:dyDescent="0.3">
      <c r="D176" s="1" t="str">
        <f>SUBSTITUTE(CbgIiWorkbooks[[#This Row],[Workbook]], " ", "")</f>
        <v/>
      </c>
      <c r="K176" s="1" t="str">
        <f>SUBSTITUTE(CbgIiWorksheets[[#This Row],[Worksheet]], " ", "")</f>
        <v/>
      </c>
      <c r="Q176" s="1" t="str">
        <f>SUBSTITUTE(CbgIiTables[[#This Row],[Table Name]], " ", "")</f>
        <v/>
      </c>
      <c r="AA176" s="1" t="str">
        <f>SUBSTITUTE(CbgIiColumns[[#This Row],[Name]], " ", "")</f>
        <v/>
      </c>
    </row>
    <row r="177" spans="4:27" x14ac:dyDescent="0.3">
      <c r="D177" s="1" t="str">
        <f>SUBSTITUTE(CbgIiWorkbooks[[#This Row],[Workbook]], " ", "")</f>
        <v/>
      </c>
      <c r="K177" s="1" t="str">
        <f>SUBSTITUTE(CbgIiWorksheets[[#This Row],[Worksheet]], " ", "")</f>
        <v/>
      </c>
      <c r="Q177" s="1" t="str">
        <f>SUBSTITUTE(CbgIiTables[[#This Row],[Table Name]], " ", "")</f>
        <v/>
      </c>
      <c r="AA177" s="1" t="str">
        <f>SUBSTITUTE(CbgIiColumns[[#This Row],[Name]], " ", "")</f>
        <v/>
      </c>
    </row>
    <row r="178" spans="4:27" x14ac:dyDescent="0.3">
      <c r="D178" s="1" t="str">
        <f>SUBSTITUTE(CbgIiWorkbooks[[#This Row],[Workbook]], " ", "")</f>
        <v/>
      </c>
      <c r="K178" s="1" t="str">
        <f>SUBSTITUTE(CbgIiWorksheets[[#This Row],[Worksheet]], " ", "")</f>
        <v/>
      </c>
      <c r="Q178" s="1" t="str">
        <f>SUBSTITUTE(CbgIiTables[[#This Row],[Table Name]], " ", "")</f>
        <v/>
      </c>
      <c r="AA178" s="1" t="str">
        <f>SUBSTITUTE(CbgIiColumns[[#This Row],[Name]], " ", "")</f>
        <v/>
      </c>
    </row>
    <row r="179" spans="4:27" x14ac:dyDescent="0.3">
      <c r="D179" s="1" t="str">
        <f>SUBSTITUTE(CbgIiWorkbooks[[#This Row],[Workbook]], " ", "")</f>
        <v/>
      </c>
      <c r="K179" s="1" t="str">
        <f>SUBSTITUTE(CbgIiWorksheets[[#This Row],[Worksheet]], " ", "")</f>
        <v/>
      </c>
      <c r="Q179" s="1" t="str">
        <f>SUBSTITUTE(CbgIiTables[[#This Row],[Table Name]], " ", "")</f>
        <v/>
      </c>
      <c r="AA179" s="1" t="str">
        <f>SUBSTITUTE(CbgIiColumns[[#This Row],[Name]], " ", "")</f>
        <v/>
      </c>
    </row>
    <row r="180" spans="4:27" x14ac:dyDescent="0.3">
      <c r="D180" s="1" t="str">
        <f>SUBSTITUTE(CbgIiWorkbooks[[#This Row],[Workbook]], " ", "")</f>
        <v/>
      </c>
      <c r="K180" s="1" t="str">
        <f>SUBSTITUTE(CbgIiWorksheets[[#This Row],[Worksheet]], " ", "")</f>
        <v/>
      </c>
      <c r="Q180" s="1" t="str">
        <f>SUBSTITUTE(CbgIiTables[[#This Row],[Table Name]], " ", "")</f>
        <v/>
      </c>
      <c r="AA180" s="1" t="str">
        <f>SUBSTITUTE(CbgIiColumns[[#This Row],[Name]], " ", "")</f>
        <v/>
      </c>
    </row>
    <row r="181" spans="4:27" x14ac:dyDescent="0.3">
      <c r="D181" s="1" t="str">
        <f>SUBSTITUTE(CbgIiWorkbooks[[#This Row],[Workbook]], " ", "")</f>
        <v/>
      </c>
      <c r="K181" s="1" t="str">
        <f>SUBSTITUTE(CbgIiWorksheets[[#This Row],[Worksheet]], " ", "")</f>
        <v/>
      </c>
      <c r="Q181" s="1" t="str">
        <f>SUBSTITUTE(CbgIiTables[[#This Row],[Table Name]], " ", "")</f>
        <v/>
      </c>
      <c r="AA181" s="1" t="str">
        <f>SUBSTITUTE(CbgIiColumns[[#This Row],[Name]], " ", "")</f>
        <v/>
      </c>
    </row>
    <row r="182" spans="4:27" x14ac:dyDescent="0.3">
      <c r="D182" s="1" t="str">
        <f>SUBSTITUTE(CbgIiWorkbooks[[#This Row],[Workbook]], " ", "")</f>
        <v/>
      </c>
      <c r="K182" s="1" t="str">
        <f>SUBSTITUTE(CbgIiWorksheets[[#This Row],[Worksheet]], " ", "")</f>
        <v/>
      </c>
      <c r="Q182" s="1" t="str">
        <f>SUBSTITUTE(CbgIiTables[[#This Row],[Table Name]], " ", "")</f>
        <v/>
      </c>
      <c r="AA182" s="1" t="str">
        <f>SUBSTITUTE(CbgIiColumns[[#This Row],[Name]], " ", "")</f>
        <v/>
      </c>
    </row>
    <row r="183" spans="4:27" x14ac:dyDescent="0.3">
      <c r="D183" s="1" t="str">
        <f>SUBSTITUTE(CbgIiWorkbooks[[#This Row],[Workbook]], " ", "")</f>
        <v/>
      </c>
      <c r="K183" s="1" t="str">
        <f>SUBSTITUTE(CbgIiWorksheets[[#This Row],[Worksheet]], " ", "")</f>
        <v/>
      </c>
      <c r="Q183" s="1" t="str">
        <f>SUBSTITUTE(CbgIiTables[[#This Row],[Table Name]], " ", "")</f>
        <v/>
      </c>
      <c r="AA183" s="1" t="str">
        <f>SUBSTITUTE(CbgIiColumns[[#This Row],[Name]], " ", "")</f>
        <v/>
      </c>
    </row>
    <row r="184" spans="4:27" x14ac:dyDescent="0.3">
      <c r="D184" s="1" t="str">
        <f>SUBSTITUTE(CbgIiWorkbooks[[#This Row],[Workbook]], " ", "")</f>
        <v/>
      </c>
      <c r="K184" s="1" t="str">
        <f>SUBSTITUTE(CbgIiWorksheets[[#This Row],[Worksheet]], " ", "")</f>
        <v/>
      </c>
      <c r="Q184" s="1" t="str">
        <f>SUBSTITUTE(CbgIiTables[[#This Row],[Table Name]], " ", "")</f>
        <v/>
      </c>
      <c r="AA184" s="1" t="str">
        <f>SUBSTITUTE(CbgIiColumns[[#This Row],[Name]], " ", "")</f>
        <v/>
      </c>
    </row>
    <row r="185" spans="4:27" x14ac:dyDescent="0.3">
      <c r="D185" s="1" t="str">
        <f>SUBSTITUTE(CbgIiWorkbooks[[#This Row],[Workbook]], " ", "")</f>
        <v/>
      </c>
      <c r="K185" s="1" t="str">
        <f>SUBSTITUTE(CbgIiWorksheets[[#This Row],[Worksheet]], " ", "")</f>
        <v/>
      </c>
      <c r="Q185" s="1" t="str">
        <f>SUBSTITUTE(CbgIiTables[[#This Row],[Table Name]], " ", "")</f>
        <v/>
      </c>
      <c r="AA185" s="1" t="str">
        <f>SUBSTITUTE(CbgIiColumns[[#This Row],[Name]], " ", "")</f>
        <v/>
      </c>
    </row>
    <row r="186" spans="4:27" x14ac:dyDescent="0.3">
      <c r="D186" s="1" t="str">
        <f>SUBSTITUTE(CbgIiWorkbooks[[#This Row],[Workbook]], " ", "")</f>
        <v/>
      </c>
      <c r="K186" s="1" t="str">
        <f>SUBSTITUTE(CbgIiWorksheets[[#This Row],[Worksheet]], " ", "")</f>
        <v/>
      </c>
      <c r="Q186" s="1" t="str">
        <f>SUBSTITUTE(CbgIiTables[[#This Row],[Table Name]], " ", "")</f>
        <v/>
      </c>
      <c r="AA186" s="1" t="str">
        <f>SUBSTITUTE(CbgIiColumns[[#This Row],[Name]], " ", "")</f>
        <v/>
      </c>
    </row>
    <row r="187" spans="4:27" x14ac:dyDescent="0.3">
      <c r="D187" s="1" t="str">
        <f>SUBSTITUTE(CbgIiWorkbooks[[#This Row],[Workbook]], " ", "")</f>
        <v/>
      </c>
      <c r="K187" s="1" t="str">
        <f>SUBSTITUTE(CbgIiWorksheets[[#This Row],[Worksheet]], " ", "")</f>
        <v/>
      </c>
      <c r="Q187" s="1" t="str">
        <f>SUBSTITUTE(CbgIiTables[[#This Row],[Table Name]], " ", "")</f>
        <v/>
      </c>
      <c r="AA187" s="1" t="str">
        <f>SUBSTITUTE(CbgIiColumns[[#This Row],[Name]], " ", "")</f>
        <v/>
      </c>
    </row>
    <row r="188" spans="4:27" x14ac:dyDescent="0.3">
      <c r="D188" s="1" t="str">
        <f>SUBSTITUTE(CbgIiWorkbooks[[#This Row],[Workbook]], " ", "")</f>
        <v/>
      </c>
      <c r="K188" s="1" t="str">
        <f>SUBSTITUTE(CbgIiWorksheets[[#This Row],[Worksheet]], " ", "")</f>
        <v/>
      </c>
      <c r="Q188" s="1" t="str">
        <f>SUBSTITUTE(CbgIiTables[[#This Row],[Table Name]], " ", "")</f>
        <v/>
      </c>
      <c r="AA188" s="1" t="str">
        <f>SUBSTITUTE(CbgIiColumns[[#This Row],[Name]], " ", "")</f>
        <v/>
      </c>
    </row>
    <row r="189" spans="4:27" x14ac:dyDescent="0.3">
      <c r="D189" s="1" t="str">
        <f>SUBSTITUTE(CbgIiWorkbooks[[#This Row],[Workbook]], " ", "")</f>
        <v/>
      </c>
      <c r="K189" s="1" t="str">
        <f>SUBSTITUTE(CbgIiWorksheets[[#This Row],[Worksheet]], " ", "")</f>
        <v/>
      </c>
      <c r="Q189" s="1" t="str">
        <f>SUBSTITUTE(CbgIiTables[[#This Row],[Table Name]], " ", "")</f>
        <v/>
      </c>
      <c r="AA189" s="1" t="str">
        <f>SUBSTITUTE(CbgIiColumns[[#This Row],[Name]], " ", "")</f>
        <v/>
      </c>
    </row>
    <row r="190" spans="4:27" x14ac:dyDescent="0.3">
      <c r="D190" s="1" t="str">
        <f>SUBSTITUTE(CbgIiWorkbooks[[#This Row],[Workbook]], " ", "")</f>
        <v/>
      </c>
      <c r="K190" s="1" t="str">
        <f>SUBSTITUTE(CbgIiWorksheets[[#This Row],[Worksheet]], " ", "")</f>
        <v/>
      </c>
      <c r="Q190" s="1" t="str">
        <f>SUBSTITUTE(CbgIiTables[[#This Row],[Table Name]], " ", "")</f>
        <v/>
      </c>
      <c r="AA190" s="1" t="str">
        <f>SUBSTITUTE(CbgIiColumns[[#This Row],[Name]], " ", "")</f>
        <v/>
      </c>
    </row>
    <row r="191" spans="4:27" x14ac:dyDescent="0.3">
      <c r="D191" s="1" t="str">
        <f>SUBSTITUTE(CbgIiWorkbooks[[#This Row],[Workbook]], " ", "")</f>
        <v/>
      </c>
      <c r="K191" s="1" t="str">
        <f>SUBSTITUTE(CbgIiWorksheets[[#This Row],[Worksheet]], " ", "")</f>
        <v/>
      </c>
      <c r="Q191" s="1" t="str">
        <f>SUBSTITUTE(CbgIiTables[[#This Row],[Table Name]], " ", "")</f>
        <v/>
      </c>
      <c r="AA191" s="1" t="str">
        <f>SUBSTITUTE(CbgIiColumns[[#This Row],[Name]], " ", "")</f>
        <v/>
      </c>
    </row>
    <row r="192" spans="4:27" x14ac:dyDescent="0.3">
      <c r="D192" s="1" t="str">
        <f>SUBSTITUTE(CbgIiWorkbooks[[#This Row],[Workbook]], " ", "")</f>
        <v/>
      </c>
      <c r="K192" s="1" t="str">
        <f>SUBSTITUTE(CbgIiWorksheets[[#This Row],[Worksheet]], " ", "")</f>
        <v/>
      </c>
      <c r="Q192" s="1" t="str">
        <f>SUBSTITUTE(CbgIiTables[[#This Row],[Table Name]], " ", "")</f>
        <v/>
      </c>
      <c r="AA192" s="1" t="str">
        <f>SUBSTITUTE(CbgIiColumns[[#This Row],[Name]], " ", "")</f>
        <v/>
      </c>
    </row>
    <row r="193" spans="4:27" x14ac:dyDescent="0.3">
      <c r="D193" s="1" t="str">
        <f>SUBSTITUTE(CbgIiWorkbooks[[#This Row],[Workbook]], " ", "")</f>
        <v/>
      </c>
      <c r="K193" s="1" t="str">
        <f>SUBSTITUTE(CbgIiWorksheets[[#This Row],[Worksheet]], " ", "")</f>
        <v/>
      </c>
      <c r="Q193" s="1" t="str">
        <f>SUBSTITUTE(CbgIiTables[[#This Row],[Table Name]], " ", "")</f>
        <v/>
      </c>
      <c r="AA193" s="1" t="str">
        <f>SUBSTITUTE(CbgIiColumns[[#This Row],[Name]], " ", "")</f>
        <v/>
      </c>
    </row>
    <row r="194" spans="4:27" x14ac:dyDescent="0.3">
      <c r="D194" s="1" t="str">
        <f>SUBSTITUTE(CbgIiWorkbooks[[#This Row],[Workbook]], " ", "")</f>
        <v/>
      </c>
      <c r="K194" s="1" t="str">
        <f>SUBSTITUTE(CbgIiWorksheets[[#This Row],[Worksheet]], " ", "")</f>
        <v/>
      </c>
      <c r="Q194" s="1" t="str">
        <f>SUBSTITUTE(CbgIiTables[[#This Row],[Table Name]], " ", "")</f>
        <v/>
      </c>
      <c r="AA194" s="1" t="str">
        <f>SUBSTITUTE(CbgIiColumns[[#This Row],[Name]], " ", "")</f>
        <v/>
      </c>
    </row>
    <row r="195" spans="4:27" x14ac:dyDescent="0.3">
      <c r="D195" s="1" t="str">
        <f>SUBSTITUTE(CbgIiWorkbooks[[#This Row],[Workbook]], " ", "")</f>
        <v/>
      </c>
      <c r="K195" s="1" t="str">
        <f>SUBSTITUTE(CbgIiWorksheets[[#This Row],[Worksheet]], " ", "")</f>
        <v/>
      </c>
      <c r="Q195" s="1" t="str">
        <f>SUBSTITUTE(CbgIiTables[[#This Row],[Table Name]], " ", "")</f>
        <v/>
      </c>
      <c r="AA195" s="1" t="str">
        <f>SUBSTITUTE(CbgIiColumns[[#This Row],[Name]], " ", "")</f>
        <v/>
      </c>
    </row>
    <row r="196" spans="4:27" x14ac:dyDescent="0.3">
      <c r="D196" s="1" t="str">
        <f>SUBSTITUTE(CbgIiWorkbooks[[#This Row],[Workbook]], " ", "")</f>
        <v/>
      </c>
      <c r="K196" s="1" t="str">
        <f>SUBSTITUTE(CbgIiWorksheets[[#This Row],[Worksheet]], " ", "")</f>
        <v/>
      </c>
      <c r="Q196" s="1" t="str">
        <f>SUBSTITUTE(CbgIiTables[[#This Row],[Table Name]], " ", "")</f>
        <v/>
      </c>
      <c r="AA196" s="1" t="str">
        <f>SUBSTITUTE(CbgIiColumns[[#This Row],[Name]], " ", "")</f>
        <v/>
      </c>
    </row>
    <row r="197" spans="4:27" x14ac:dyDescent="0.3">
      <c r="D197" s="1" t="str">
        <f>SUBSTITUTE(CbgIiWorkbooks[[#This Row],[Workbook]], " ", "")</f>
        <v/>
      </c>
      <c r="K197" s="1" t="str">
        <f>SUBSTITUTE(CbgIiWorksheets[[#This Row],[Worksheet]], " ", "")</f>
        <v/>
      </c>
      <c r="Q197" s="1" t="str">
        <f>SUBSTITUTE(CbgIiTables[[#This Row],[Table Name]], " ", "")</f>
        <v/>
      </c>
      <c r="AA197" s="1" t="str">
        <f>SUBSTITUTE(CbgIiColumns[[#This Row],[Name]], " ", "")</f>
        <v/>
      </c>
    </row>
    <row r="198" spans="4:27" x14ac:dyDescent="0.3">
      <c r="D198" s="1" t="str">
        <f>SUBSTITUTE(CbgIiWorkbooks[[#This Row],[Workbook]], " ", "")</f>
        <v/>
      </c>
      <c r="K198" s="1" t="str">
        <f>SUBSTITUTE(CbgIiWorksheets[[#This Row],[Worksheet]], " ", "")</f>
        <v/>
      </c>
      <c r="Q198" s="1" t="str">
        <f>SUBSTITUTE(CbgIiTables[[#This Row],[Table Name]], " ", "")</f>
        <v/>
      </c>
      <c r="AA198" s="1" t="str">
        <f>SUBSTITUTE(CbgIiColumns[[#This Row],[Name]], " ", "")</f>
        <v/>
      </c>
    </row>
    <row r="199" spans="4:27" x14ac:dyDescent="0.3">
      <c r="D199" s="1" t="str">
        <f>SUBSTITUTE(CbgIiWorkbooks[[#This Row],[Workbook]], " ", "")</f>
        <v/>
      </c>
      <c r="K199" s="1" t="str">
        <f>SUBSTITUTE(CbgIiWorksheets[[#This Row],[Worksheet]], " ", "")</f>
        <v/>
      </c>
      <c r="Q199" s="1" t="str">
        <f>SUBSTITUTE(CbgIiTables[[#This Row],[Table Name]], " ", "")</f>
        <v/>
      </c>
      <c r="AA199" s="1" t="str">
        <f>SUBSTITUTE(CbgIiColumns[[#This Row],[Name]], " ", "")</f>
        <v/>
      </c>
    </row>
    <row r="200" spans="4:27" x14ac:dyDescent="0.3">
      <c r="D200" s="1" t="str">
        <f>SUBSTITUTE(CbgIiWorkbooks[[#This Row],[Workbook]], " ", "")</f>
        <v/>
      </c>
      <c r="K200" s="1" t="str">
        <f>SUBSTITUTE(CbgIiWorksheets[[#This Row],[Worksheet]], " ", "")</f>
        <v/>
      </c>
      <c r="Q200" s="1" t="str">
        <f>SUBSTITUTE(CbgIiTables[[#This Row],[Table Name]], " ", "")</f>
        <v/>
      </c>
      <c r="AA200" s="1" t="str">
        <f>SUBSTITUTE(CbgIiColumns[[#This Row],[Name]], " ", "")</f>
        <v/>
      </c>
    </row>
  </sheetData>
  <mergeCells count="7">
    <mergeCell ref="AH1:AI1"/>
    <mergeCell ref="AM1:AQ1"/>
    <mergeCell ref="W1:AB1"/>
    <mergeCell ref="H1:M1"/>
    <mergeCell ref="B1:F1"/>
    <mergeCell ref="O1:U1"/>
    <mergeCell ref="AD1:AF1"/>
  </mergeCells>
  <conditionalFormatting sqref="B3:C200">
    <cfRule type="containsBlanks" dxfId="125" priority="102">
      <formula>LEN(TRIM(B3))=0</formula>
    </cfRule>
  </conditionalFormatting>
  <conditionalFormatting sqref="D3:E200 K3:M200 H3:H200">
    <cfRule type="containsBlanks" dxfId="124" priority="101">
      <formula>LEN(TRIM(D3))=0</formula>
    </cfRule>
  </conditionalFormatting>
  <conditionalFormatting sqref="F3:F200 I3:J200">
    <cfRule type="containsBlanks" dxfId="123" priority="100">
      <formula>LEN(TRIM(F3))=0</formula>
    </cfRule>
  </conditionalFormatting>
  <conditionalFormatting sqref="O7:O200">
    <cfRule type="containsBlanks" dxfId="122" priority="103">
      <formula>LEN(TRIM(O7))=0</formula>
    </cfRule>
  </conditionalFormatting>
  <conditionalFormatting sqref="Q3:Q200 S10:U200 S3:T6 S7:S9">
    <cfRule type="containsBlanks" dxfId="121" priority="98">
      <formula>LEN(TRIM(Q3))=0</formula>
    </cfRule>
  </conditionalFormatting>
  <conditionalFormatting sqref="P3:P200 R3:R200">
    <cfRule type="containsBlanks" dxfId="120" priority="97">
      <formula>LEN(TRIM(P3))=0</formula>
    </cfRule>
  </conditionalFormatting>
  <conditionalFormatting sqref="AA81:AB200 AA3:AA27 X3 X10:X16 AA64:AA76 X64:X75 X81:X200">
    <cfRule type="containsBlanks" dxfId="119" priority="96">
      <formula>LEN(TRIM(X3))=0</formula>
    </cfRule>
  </conditionalFormatting>
  <conditionalFormatting sqref="Z3:Z19 Y81:Z200 Z76 W64:W76 Y64:Z75 W81:W200 W3:W27">
    <cfRule type="containsBlanks" dxfId="118" priority="95">
      <formula>LEN(TRIM(W3))=0</formula>
    </cfRule>
  </conditionalFormatting>
  <conditionalFormatting sqref="H3:H17">
    <cfRule type="containsBlanks" dxfId="117" priority="84">
      <formula>LEN(TRIM(H3))=0</formula>
    </cfRule>
  </conditionalFormatting>
  <conditionalFormatting sqref="Y10:Y15">
    <cfRule type="containsBlanks" dxfId="116" priority="79">
      <formula>LEN(TRIM(Y10))=0</formula>
    </cfRule>
  </conditionalFormatting>
  <conditionalFormatting sqref="Y11">
    <cfRule type="containsBlanks" dxfId="115" priority="78">
      <formula>LEN(TRIM(Y11))=0</formula>
    </cfRule>
  </conditionalFormatting>
  <conditionalFormatting sqref="Y12">
    <cfRule type="containsBlanks" dxfId="114" priority="77">
      <formula>LEN(TRIM(Y12))=0</formula>
    </cfRule>
  </conditionalFormatting>
  <conditionalFormatting sqref="Y13">
    <cfRule type="containsBlanks" dxfId="113" priority="76">
      <formula>LEN(TRIM(Y13))=0</formula>
    </cfRule>
  </conditionalFormatting>
  <conditionalFormatting sqref="Y14">
    <cfRule type="containsBlanks" dxfId="112" priority="75">
      <formula>LEN(TRIM(Y14))=0</formula>
    </cfRule>
  </conditionalFormatting>
  <conditionalFormatting sqref="Y15">
    <cfRule type="containsBlanks" dxfId="111" priority="74">
      <formula>LEN(TRIM(Y15))=0</formula>
    </cfRule>
  </conditionalFormatting>
  <conditionalFormatting sqref="Y16">
    <cfRule type="containsBlanks" dxfId="110" priority="73">
      <formula>LEN(TRIM(Y16))=0</formula>
    </cfRule>
  </conditionalFormatting>
  <conditionalFormatting sqref="Z20:Z27">
    <cfRule type="containsBlanks" dxfId="109" priority="68">
      <formula>LEN(TRIM(Z20))=0</formula>
    </cfRule>
  </conditionalFormatting>
  <conditionalFormatting sqref="Y64:Y75">
    <cfRule type="containsBlanks" dxfId="108" priority="62">
      <formula>LEN(TRIM(Y64))=0</formula>
    </cfRule>
  </conditionalFormatting>
  <conditionalFormatting sqref="Y68">
    <cfRule type="containsBlanks" dxfId="107" priority="61">
      <formula>LEN(TRIM(Y68))=0</formula>
    </cfRule>
  </conditionalFormatting>
  <conditionalFormatting sqref="U3:U6">
    <cfRule type="containsBlanks" dxfId="106" priority="60">
      <formula>LEN(TRIM(U3))=0</formula>
    </cfRule>
  </conditionalFormatting>
  <conditionalFormatting sqref="AB3:AB27 AB64:AB75">
    <cfRule type="containsBlanks" dxfId="105" priority="59">
      <formula>LEN(TRIM(AB3))=0</formula>
    </cfRule>
  </conditionalFormatting>
  <conditionalFormatting sqref="O3:O6">
    <cfRule type="containsBlanks" dxfId="104" priority="57">
      <formula>LEN(TRIM(O3))=0</formula>
    </cfRule>
  </conditionalFormatting>
  <conditionalFormatting sqref="T7">
    <cfRule type="containsBlanks" dxfId="103" priority="56">
      <formula>LEN(TRIM(T7))=0</formula>
    </cfRule>
  </conditionalFormatting>
  <conditionalFormatting sqref="U7">
    <cfRule type="containsBlanks" dxfId="102" priority="55">
      <formula>LEN(TRIM(U7))=0</formula>
    </cfRule>
  </conditionalFormatting>
  <conditionalFormatting sqref="T8">
    <cfRule type="containsBlanks" dxfId="101" priority="54">
      <formula>LEN(TRIM(T8))=0</formula>
    </cfRule>
  </conditionalFormatting>
  <conditionalFormatting sqref="U8">
    <cfRule type="containsBlanks" dxfId="100" priority="53">
      <formula>LEN(TRIM(U8))=0</formula>
    </cfRule>
  </conditionalFormatting>
  <conditionalFormatting sqref="T9">
    <cfRule type="containsBlanks" dxfId="99" priority="52">
      <formula>LEN(TRIM(T9))=0</formula>
    </cfRule>
  </conditionalFormatting>
  <conditionalFormatting sqref="U9">
    <cfRule type="containsBlanks" dxfId="98" priority="51">
      <formula>LEN(TRIM(U9))=0</formula>
    </cfRule>
  </conditionalFormatting>
  <conditionalFormatting sqref="Y3">
    <cfRule type="containsBlanks" dxfId="97" priority="50">
      <formula>LEN(TRIM(Y3))=0</formula>
    </cfRule>
  </conditionalFormatting>
  <conditionalFormatting sqref="X4:X9">
    <cfRule type="containsBlanks" dxfId="96" priority="49">
      <formula>LEN(TRIM(X4))=0</formula>
    </cfRule>
  </conditionalFormatting>
  <conditionalFormatting sqref="Y4:Y9">
    <cfRule type="containsBlanks" dxfId="95" priority="48">
      <formula>LEN(TRIM(Y4))=0</formula>
    </cfRule>
  </conditionalFormatting>
  <conditionalFormatting sqref="X17:X27">
    <cfRule type="containsBlanks" dxfId="94" priority="47">
      <formula>LEN(TRIM(X17))=0</formula>
    </cfRule>
  </conditionalFormatting>
  <conditionalFormatting sqref="Y17:Y27">
    <cfRule type="containsBlanks" dxfId="93" priority="46">
      <formula>LEN(TRIM(Y17))=0</formula>
    </cfRule>
  </conditionalFormatting>
  <conditionalFormatting sqref="AA28:AA39 X28">
    <cfRule type="containsBlanks" dxfId="92" priority="45">
      <formula>LEN(TRIM(X28))=0</formula>
    </cfRule>
  </conditionalFormatting>
  <conditionalFormatting sqref="W28:W30 Z28:Z31">
    <cfRule type="containsBlanks" dxfId="91" priority="44">
      <formula>LEN(TRIM(W28))=0</formula>
    </cfRule>
  </conditionalFormatting>
  <conditionalFormatting sqref="Y28:Y39">
    <cfRule type="containsBlanks" dxfId="90" priority="43">
      <formula>LEN(TRIM(Y28))=0</formula>
    </cfRule>
  </conditionalFormatting>
  <conditionalFormatting sqref="Z32:Z39">
    <cfRule type="containsBlanks" dxfId="89" priority="42">
      <formula>LEN(TRIM(Z32))=0</formula>
    </cfRule>
  </conditionalFormatting>
  <conditionalFormatting sqref="AB28:AB39">
    <cfRule type="containsBlanks" dxfId="88" priority="41">
      <formula>LEN(TRIM(AB28))=0</formula>
    </cfRule>
  </conditionalFormatting>
  <conditionalFormatting sqref="X29:X39">
    <cfRule type="containsBlanks" dxfId="87" priority="40">
      <formula>LEN(TRIM(X29))=0</formula>
    </cfRule>
  </conditionalFormatting>
  <conditionalFormatting sqref="Y29:Y39">
    <cfRule type="containsBlanks" dxfId="86" priority="39">
      <formula>LEN(TRIM(Y29))=0</formula>
    </cfRule>
  </conditionalFormatting>
  <conditionalFormatting sqref="AA40:AA51 X40">
    <cfRule type="containsBlanks" dxfId="85" priority="38">
      <formula>LEN(TRIM(X40))=0</formula>
    </cfRule>
  </conditionalFormatting>
  <conditionalFormatting sqref="W40:W42 Z40:Z43">
    <cfRule type="containsBlanks" dxfId="84" priority="37">
      <formula>LEN(TRIM(W40))=0</formula>
    </cfRule>
  </conditionalFormatting>
  <conditionalFormatting sqref="Y40:Y51">
    <cfRule type="containsBlanks" dxfId="83" priority="36">
      <formula>LEN(TRIM(Y40))=0</formula>
    </cfRule>
  </conditionalFormatting>
  <conditionalFormatting sqref="Z44:Z51">
    <cfRule type="containsBlanks" dxfId="82" priority="35">
      <formula>LEN(TRIM(Z44))=0</formula>
    </cfRule>
  </conditionalFormatting>
  <conditionalFormatting sqref="AB40:AB51">
    <cfRule type="containsBlanks" dxfId="81" priority="34">
      <formula>LEN(TRIM(AB40))=0</formula>
    </cfRule>
  </conditionalFormatting>
  <conditionalFormatting sqref="X41:X51">
    <cfRule type="containsBlanks" dxfId="80" priority="33">
      <formula>LEN(TRIM(X41))=0</formula>
    </cfRule>
  </conditionalFormatting>
  <conditionalFormatting sqref="Y41:Y51">
    <cfRule type="containsBlanks" dxfId="79" priority="32">
      <formula>LEN(TRIM(Y41))=0</formula>
    </cfRule>
  </conditionalFormatting>
  <conditionalFormatting sqref="AA52:AA63 X52">
    <cfRule type="containsBlanks" dxfId="78" priority="31">
      <formula>LEN(TRIM(X52))=0</formula>
    </cfRule>
  </conditionalFormatting>
  <conditionalFormatting sqref="W52:W54 Z52:Z55">
    <cfRule type="containsBlanks" dxfId="77" priority="30">
      <formula>LEN(TRIM(W52))=0</formula>
    </cfRule>
  </conditionalFormatting>
  <conditionalFormatting sqref="Y52:Y63">
    <cfRule type="containsBlanks" dxfId="76" priority="29">
      <formula>LEN(TRIM(Y52))=0</formula>
    </cfRule>
  </conditionalFormatting>
  <conditionalFormatting sqref="Z56:Z63">
    <cfRule type="containsBlanks" dxfId="75" priority="28">
      <formula>LEN(TRIM(Z56))=0</formula>
    </cfRule>
  </conditionalFormatting>
  <conditionalFormatting sqref="AB52:AB63">
    <cfRule type="containsBlanks" dxfId="74" priority="27">
      <formula>LEN(TRIM(AB52))=0</formula>
    </cfRule>
  </conditionalFormatting>
  <conditionalFormatting sqref="X53:X63">
    <cfRule type="containsBlanks" dxfId="73" priority="26">
      <formula>LEN(TRIM(X53))=0</formula>
    </cfRule>
  </conditionalFormatting>
  <conditionalFormatting sqref="Y53:Y63">
    <cfRule type="containsBlanks" dxfId="72" priority="25">
      <formula>LEN(TRIM(Y53))=0</formula>
    </cfRule>
  </conditionalFormatting>
  <conditionalFormatting sqref="AB76">
    <cfRule type="containsBlanks" dxfId="71" priority="24">
      <formula>LEN(TRIM(AB76))=0</formula>
    </cfRule>
  </conditionalFormatting>
  <conditionalFormatting sqref="X76">
    <cfRule type="containsBlanks" dxfId="70" priority="23">
      <formula>LEN(TRIM(X76))=0</formula>
    </cfRule>
  </conditionalFormatting>
  <conditionalFormatting sqref="Y76">
    <cfRule type="containsBlanks" dxfId="69" priority="22">
      <formula>LEN(TRIM(Y76))=0</formula>
    </cfRule>
  </conditionalFormatting>
  <conditionalFormatting sqref="Y76">
    <cfRule type="containsBlanks" dxfId="68" priority="21">
      <formula>LEN(TRIM(Y76))=0</formula>
    </cfRule>
  </conditionalFormatting>
  <conditionalFormatting sqref="AA77">
    <cfRule type="containsBlanks" dxfId="67" priority="20">
      <formula>LEN(TRIM(AA77))=0</formula>
    </cfRule>
  </conditionalFormatting>
  <conditionalFormatting sqref="W77 Y77:Z77">
    <cfRule type="containsBlanks" dxfId="66" priority="19">
      <formula>LEN(TRIM(W77))=0</formula>
    </cfRule>
  </conditionalFormatting>
  <conditionalFormatting sqref="Y77">
    <cfRule type="containsBlanks" dxfId="65" priority="18">
      <formula>LEN(TRIM(Y77))=0</formula>
    </cfRule>
  </conditionalFormatting>
  <conditionalFormatting sqref="AB77:AB80">
    <cfRule type="containsBlanks" dxfId="64" priority="17">
      <formula>LEN(TRIM(AB77))=0</formula>
    </cfRule>
  </conditionalFormatting>
  <conditionalFormatting sqref="AA78">
    <cfRule type="containsBlanks" dxfId="63" priority="16">
      <formula>LEN(TRIM(AA78))=0</formula>
    </cfRule>
  </conditionalFormatting>
  <conditionalFormatting sqref="W78 Y78:Z78">
    <cfRule type="containsBlanks" dxfId="62" priority="15">
      <formula>LEN(TRIM(W78))=0</formula>
    </cfRule>
  </conditionalFormatting>
  <conditionalFormatting sqref="Y78">
    <cfRule type="containsBlanks" dxfId="61" priority="14">
      <formula>LEN(TRIM(Y78))=0</formula>
    </cfRule>
  </conditionalFormatting>
  <conditionalFormatting sqref="AB78">
    <cfRule type="containsBlanks" dxfId="60" priority="13">
      <formula>LEN(TRIM(AB78))=0</formula>
    </cfRule>
  </conditionalFormatting>
  <conditionalFormatting sqref="AA79">
    <cfRule type="containsBlanks" dxfId="59" priority="12">
      <formula>LEN(TRIM(AA79))=0</formula>
    </cfRule>
  </conditionalFormatting>
  <conditionalFormatting sqref="W79 Y79:Z79">
    <cfRule type="containsBlanks" dxfId="58" priority="11">
      <formula>LEN(TRIM(W79))=0</formula>
    </cfRule>
  </conditionalFormatting>
  <conditionalFormatting sqref="Y79">
    <cfRule type="containsBlanks" dxfId="57" priority="10">
      <formula>LEN(TRIM(Y79))=0</formula>
    </cfRule>
  </conditionalFormatting>
  <conditionalFormatting sqref="AB79">
    <cfRule type="containsBlanks" dxfId="56" priority="9">
      <formula>LEN(TRIM(AB79))=0</formula>
    </cfRule>
  </conditionalFormatting>
  <conditionalFormatting sqref="AA80">
    <cfRule type="containsBlanks" dxfId="55" priority="8">
      <formula>LEN(TRIM(AA80))=0</formula>
    </cfRule>
  </conditionalFormatting>
  <conditionalFormatting sqref="W80 Y80:Z80">
    <cfRule type="containsBlanks" dxfId="54" priority="7">
      <formula>LEN(TRIM(W80))=0</formula>
    </cfRule>
  </conditionalFormatting>
  <conditionalFormatting sqref="Y80">
    <cfRule type="containsBlanks" dxfId="53" priority="6">
      <formula>LEN(TRIM(Y80))=0</formula>
    </cfRule>
  </conditionalFormatting>
  <conditionalFormatting sqref="AB80">
    <cfRule type="containsBlanks" dxfId="52" priority="5">
      <formula>LEN(TRIM(AB80))=0</formula>
    </cfRule>
  </conditionalFormatting>
  <conditionalFormatting sqref="X77:X80">
    <cfRule type="containsBlanks" dxfId="51" priority="4">
      <formula>LEN(TRIM(X77))=0</formula>
    </cfRule>
  </conditionalFormatting>
  <conditionalFormatting sqref="W43:W51">
    <cfRule type="containsBlanks" dxfId="50" priority="3">
      <formula>LEN(TRIM(W43))=0</formula>
    </cfRule>
  </conditionalFormatting>
  <conditionalFormatting sqref="W55:W63">
    <cfRule type="containsBlanks" dxfId="49" priority="2">
      <formula>LEN(TRIM(W55))=0</formula>
    </cfRule>
  </conditionalFormatting>
  <conditionalFormatting sqref="W31:W39">
    <cfRule type="containsBlanks" dxfId="48" priority="1">
      <formula>LEN(TRIM(W31))=0</formula>
    </cfRule>
  </conditionalFormatting>
  <dataValidations count="3">
    <dataValidation type="list" allowBlank="1" showInputMessage="1" showErrorMessage="1" sqref="I14:I21 H3:H21" xr:uid="{E0F84630-A41F-4A1C-A3F6-A9BB73CBBCD1}">
      <formula1>$B$3:$B$15</formula1>
    </dataValidation>
    <dataValidation type="list" allowBlank="1" showInputMessage="1" showErrorMessage="1" sqref="AI3:AI200 AE3:AE200" xr:uid="{BE93AF4E-5D96-4B0A-93F1-E4E95DD9E821}">
      <formula1>$AM$3:$AM$15</formula1>
    </dataValidation>
    <dataValidation type="list" allowBlank="1" showInputMessage="1" showErrorMessage="1" sqref="O12:O101" xr:uid="{64F5A035-9035-45BF-81A3-6234E3175870}">
      <formula1>$J$3:$J$1001</formula1>
    </dataValidation>
  </dataValidations>
  <pageMargins left="0.7" right="0.7" top="0.75" bottom="0.75" header="0.3" footer="0.3"/>
  <pageSetup orientation="portrait" horizontalDpi="4294967292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duceCode">
                <anchor moveWithCells="1" sizeWithCells="1">
                  <from>
                    <xdr:col>0</xdr:col>
                    <xdr:colOff>123825</xdr:colOff>
                    <xdr:row>6</xdr:row>
                    <xdr:rowOff>57150</xdr:rowOff>
                  </from>
                  <to>
                    <xdr:col>0</xdr:col>
                    <xdr:colOff>1076325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PopulateAllTables">
                <anchor moveWithCells="1" sizeWithCells="1">
                  <from>
                    <xdr:col>0</xdr:col>
                    <xdr:colOff>133350</xdr:colOff>
                    <xdr:row>0</xdr:row>
                    <xdr:rowOff>323850</xdr:rowOff>
                  </from>
                  <to>
                    <xdr:col>0</xdr:col>
                    <xdr:colOff>1085850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ClearAllTables">
                <anchor moveWithCells="1" sizeWithCells="1">
                  <from>
                    <xdr:col>0</xdr:col>
                    <xdr:colOff>123825</xdr:colOff>
                    <xdr:row>3</xdr:row>
                    <xdr:rowOff>57150</xdr:rowOff>
                  </from>
                  <to>
                    <xdr:col>0</xdr:col>
                    <xdr:colOff>1066800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7"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878C7-CBB3-41B0-BFC9-FEE9CE6453D8}">
  <sheetPr codeName="Sheet2"/>
  <dimension ref="B1:B382"/>
  <sheetViews>
    <sheetView tabSelected="1" topLeftCell="A67" zoomScale="160" zoomScaleNormal="160" workbookViewId="0">
      <selection activeCell="A11" sqref="A11"/>
    </sheetView>
  </sheetViews>
  <sheetFormatPr defaultColWidth="8.85546875" defaultRowHeight="16.5" x14ac:dyDescent="0.3"/>
  <cols>
    <col min="1" max="1" width="17.5703125" style="8" customWidth="1"/>
    <col min="2" max="2" width="131.5703125" style="8" bestFit="1" customWidth="1"/>
    <col min="3" max="16384" width="8.85546875" style="8"/>
  </cols>
  <sheetData>
    <row r="1" spans="2:2" x14ac:dyDescent="0.3">
      <c r="B1" s="7" t="s">
        <v>57</v>
      </c>
    </row>
    <row r="3" spans="2:2" x14ac:dyDescent="0.3">
      <c r="B3" s="7" t="s">
        <v>58</v>
      </c>
    </row>
    <row r="4" spans="2:2" x14ac:dyDescent="0.3">
      <c r="B4" s="11" t="s">
        <v>165</v>
      </c>
    </row>
    <row r="5" spans="2:2" x14ac:dyDescent="0.3">
      <c r="B5" s="7" t="s">
        <v>59</v>
      </c>
    </row>
    <row r="6" spans="2:2" x14ac:dyDescent="0.3">
      <c r="B6" s="7"/>
    </row>
    <row r="7" spans="2:2" x14ac:dyDescent="0.3">
      <c r="B7" s="11" t="s">
        <v>60</v>
      </c>
    </row>
    <row r="8" spans="2:2" x14ac:dyDescent="0.3">
      <c r="B8" s="11" t="s">
        <v>166</v>
      </c>
    </row>
    <row r="9" spans="2:2" x14ac:dyDescent="0.3">
      <c r="B9" s="12" t="s">
        <v>167</v>
      </c>
    </row>
    <row r="10" spans="2:2" x14ac:dyDescent="0.3">
      <c r="B10" s="11" t="s">
        <v>168</v>
      </c>
    </row>
    <row r="11" spans="2:2" x14ac:dyDescent="0.3">
      <c r="B11" s="7" t="s">
        <v>169</v>
      </c>
    </row>
    <row r="12" spans="2:2" x14ac:dyDescent="0.3">
      <c r="B12" s="7" t="s">
        <v>170</v>
      </c>
    </row>
    <row r="13" spans="2:2" x14ac:dyDescent="0.3">
      <c r="B13" s="7"/>
    </row>
    <row r="14" spans="2:2" x14ac:dyDescent="0.3">
      <c r="B14" s="7" t="s">
        <v>61</v>
      </c>
    </row>
    <row r="15" spans="2:2" x14ac:dyDescent="0.3">
      <c r="B15" s="7" t="s">
        <v>171</v>
      </c>
    </row>
    <row r="16" spans="2:2" x14ac:dyDescent="0.3">
      <c r="B16" s="8" t="s">
        <v>697</v>
      </c>
    </row>
    <row r="17" spans="2:2" x14ac:dyDescent="0.3">
      <c r="B17" s="8" t="s">
        <v>172</v>
      </c>
    </row>
    <row r="18" spans="2:2" x14ac:dyDescent="0.3">
      <c r="B18" s="8" t="s">
        <v>173</v>
      </c>
    </row>
    <row r="19" spans="2:2" x14ac:dyDescent="0.3">
      <c r="B19" s="8" t="s">
        <v>174</v>
      </c>
    </row>
    <row r="20" spans="2:2" x14ac:dyDescent="0.3">
      <c r="B20" s="7" t="s">
        <v>175</v>
      </c>
    </row>
    <row r="21" spans="2:2" x14ac:dyDescent="0.3">
      <c r="B21" s="7" t="s">
        <v>176</v>
      </c>
    </row>
    <row r="22" spans="2:2" x14ac:dyDescent="0.3">
      <c r="B22" s="7" t="s">
        <v>62</v>
      </c>
    </row>
    <row r="23" spans="2:2" x14ac:dyDescent="0.3">
      <c r="B23" s="7"/>
    </row>
    <row r="24" spans="2:2" x14ac:dyDescent="0.3">
      <c r="B24" s="7" t="s">
        <v>63</v>
      </c>
    </row>
    <row r="25" spans="2:2" x14ac:dyDescent="0.3">
      <c r="B25" s="7" t="s">
        <v>177</v>
      </c>
    </row>
    <row r="26" spans="2:2" x14ac:dyDescent="0.3">
      <c r="B26" s="7" t="s">
        <v>178</v>
      </c>
    </row>
    <row r="27" spans="2:2" x14ac:dyDescent="0.3">
      <c r="B27" s="7" t="s">
        <v>179</v>
      </c>
    </row>
    <row r="28" spans="2:2" x14ac:dyDescent="0.3">
      <c r="B28" s="7" t="s">
        <v>180</v>
      </c>
    </row>
    <row r="29" spans="2:2" x14ac:dyDescent="0.3">
      <c r="B29" s="7" t="s">
        <v>181</v>
      </c>
    </row>
    <row r="30" spans="2:2" x14ac:dyDescent="0.3">
      <c r="B30" s="7" t="s">
        <v>182</v>
      </c>
    </row>
    <row r="31" spans="2:2" x14ac:dyDescent="0.3">
      <c r="B31" s="7" t="s">
        <v>183</v>
      </c>
    </row>
    <row r="32" spans="2:2" x14ac:dyDescent="0.3">
      <c r="B32" s="7" t="s">
        <v>184</v>
      </c>
    </row>
    <row r="33" spans="2:2" x14ac:dyDescent="0.3">
      <c r="B33" s="7"/>
    </row>
    <row r="34" spans="2:2" x14ac:dyDescent="0.3">
      <c r="B34" s="7" t="s">
        <v>185</v>
      </c>
    </row>
    <row r="35" spans="2:2" x14ac:dyDescent="0.3">
      <c r="B35" s="7"/>
    </row>
    <row r="36" spans="2:2" x14ac:dyDescent="0.3">
      <c r="B36" s="7" t="s">
        <v>698</v>
      </c>
    </row>
    <row r="37" spans="2:2" x14ac:dyDescent="0.3">
      <c r="B37" s="7" t="s">
        <v>699</v>
      </c>
    </row>
    <row r="38" spans="2:2" x14ac:dyDescent="0.3">
      <c r="B38" s="7" t="s">
        <v>700</v>
      </c>
    </row>
    <row r="39" spans="2:2" x14ac:dyDescent="0.3">
      <c r="B39" s="7" t="s">
        <v>701</v>
      </c>
    </row>
    <row r="40" spans="2:2" x14ac:dyDescent="0.3">
      <c r="B40" s="7" t="s">
        <v>702</v>
      </c>
    </row>
    <row r="41" spans="2:2" x14ac:dyDescent="0.3">
      <c r="B41" s="7" t="s">
        <v>703</v>
      </c>
    </row>
    <row r="42" spans="2:2" x14ac:dyDescent="0.3">
      <c r="B42" s="7" t="s">
        <v>704</v>
      </c>
    </row>
    <row r="43" spans="2:2" x14ac:dyDescent="0.3">
      <c r="B43" s="7"/>
    </row>
    <row r="44" spans="2:2" x14ac:dyDescent="0.3">
      <c r="B44" s="7" t="s">
        <v>705</v>
      </c>
    </row>
    <row r="45" spans="2:2" x14ac:dyDescent="0.3">
      <c r="B45" s="7"/>
    </row>
    <row r="46" spans="2:2" x14ac:dyDescent="0.3">
      <c r="B46" s="7" t="s">
        <v>186</v>
      </c>
    </row>
    <row r="47" spans="2:2" x14ac:dyDescent="0.3">
      <c r="B47" s="7" t="s">
        <v>187</v>
      </c>
    </row>
    <row r="48" spans="2:2" x14ac:dyDescent="0.3">
      <c r="B48" s="7" t="s">
        <v>188</v>
      </c>
    </row>
    <row r="49" spans="2:2" x14ac:dyDescent="0.3">
      <c r="B49" s="7" t="s">
        <v>189</v>
      </c>
    </row>
    <row r="50" spans="2:2" x14ac:dyDescent="0.3">
      <c r="B50" s="8" t="s">
        <v>190</v>
      </c>
    </row>
    <row r="51" spans="2:2" x14ac:dyDescent="0.3">
      <c r="B51" s="7" t="s">
        <v>191</v>
      </c>
    </row>
    <row r="52" spans="2:2" x14ac:dyDescent="0.3">
      <c r="B52" s="7" t="s">
        <v>192</v>
      </c>
    </row>
    <row r="53" spans="2:2" x14ac:dyDescent="0.3">
      <c r="B53" s="7" t="s">
        <v>193</v>
      </c>
    </row>
    <row r="54" spans="2:2" x14ac:dyDescent="0.3">
      <c r="B54" s="7" t="s">
        <v>194</v>
      </c>
    </row>
    <row r="55" spans="2:2" x14ac:dyDescent="0.3">
      <c r="B55" s="7" t="s">
        <v>195</v>
      </c>
    </row>
    <row r="56" spans="2:2" x14ac:dyDescent="0.3">
      <c r="B56" s="7" t="s">
        <v>196</v>
      </c>
    </row>
    <row r="57" spans="2:2" x14ac:dyDescent="0.3">
      <c r="B57" s="7" t="s">
        <v>197</v>
      </c>
    </row>
    <row r="58" spans="2:2" x14ac:dyDescent="0.3">
      <c r="B58" s="7" t="s">
        <v>198</v>
      </c>
    </row>
    <row r="59" spans="2:2" x14ac:dyDescent="0.3">
      <c r="B59" s="7" t="s">
        <v>199</v>
      </c>
    </row>
    <row r="60" spans="2:2" x14ac:dyDescent="0.3">
      <c r="B60" s="7"/>
    </row>
    <row r="61" spans="2:2" x14ac:dyDescent="0.3">
      <c r="B61" s="7" t="s">
        <v>200</v>
      </c>
    </row>
    <row r="62" spans="2:2" x14ac:dyDescent="0.3">
      <c r="B62" s="7"/>
    </row>
    <row r="63" spans="2:2" x14ac:dyDescent="0.3">
      <c r="B63" s="7" t="s">
        <v>201</v>
      </c>
    </row>
    <row r="64" spans="2:2" x14ac:dyDescent="0.3">
      <c r="B64" s="7" t="s">
        <v>740</v>
      </c>
    </row>
    <row r="65" spans="2:2" x14ac:dyDescent="0.3">
      <c r="B65" s="7" t="s">
        <v>741</v>
      </c>
    </row>
    <row r="66" spans="2:2" x14ac:dyDescent="0.3">
      <c r="B66" s="7" t="s">
        <v>742</v>
      </c>
    </row>
    <row r="67" spans="2:2" x14ac:dyDescent="0.3">
      <c r="B67" s="11" t="s">
        <v>743</v>
      </c>
    </row>
    <row r="68" spans="2:2" x14ac:dyDescent="0.3">
      <c r="B68" s="7" t="s">
        <v>744</v>
      </c>
    </row>
    <row r="69" spans="2:2" x14ac:dyDescent="0.3">
      <c r="B69" s="7" t="s">
        <v>745</v>
      </c>
    </row>
    <row r="70" spans="2:2" x14ac:dyDescent="0.3">
      <c r="B70" s="7" t="s">
        <v>746</v>
      </c>
    </row>
    <row r="71" spans="2:2" x14ac:dyDescent="0.3">
      <c r="B71" s="7" t="s">
        <v>747</v>
      </c>
    </row>
    <row r="72" spans="2:2" x14ac:dyDescent="0.3">
      <c r="B72" s="7" t="s">
        <v>748</v>
      </c>
    </row>
    <row r="73" spans="2:2" x14ac:dyDescent="0.3">
      <c r="B73" s="7" t="s">
        <v>749</v>
      </c>
    </row>
    <row r="74" spans="2:2" x14ac:dyDescent="0.3">
      <c r="B74" s="7" t="s">
        <v>750</v>
      </c>
    </row>
    <row r="75" spans="2:2" x14ac:dyDescent="0.3">
      <c r="B75" s="7" t="s">
        <v>751</v>
      </c>
    </row>
    <row r="76" spans="2:2" x14ac:dyDescent="0.3">
      <c r="B76" s="7" t="s">
        <v>752</v>
      </c>
    </row>
    <row r="77" spans="2:2" x14ac:dyDescent="0.3">
      <c r="B77" s="7"/>
    </row>
    <row r="78" spans="2:2" x14ac:dyDescent="0.3">
      <c r="B78" s="7" t="s">
        <v>202</v>
      </c>
    </row>
    <row r="79" spans="2:2" x14ac:dyDescent="0.3">
      <c r="B79" s="7"/>
    </row>
    <row r="80" spans="2:2" x14ac:dyDescent="0.3">
      <c r="B80" s="7" t="s">
        <v>203</v>
      </c>
    </row>
    <row r="81" spans="2:2" x14ac:dyDescent="0.3">
      <c r="B81" s="7" t="s">
        <v>204</v>
      </c>
    </row>
    <row r="82" spans="2:2" x14ac:dyDescent="0.3">
      <c r="B82" s="7" t="s">
        <v>205</v>
      </c>
    </row>
    <row r="83" spans="2:2" x14ac:dyDescent="0.3">
      <c r="B83" s="7" t="s">
        <v>206</v>
      </c>
    </row>
    <row r="84" spans="2:2" x14ac:dyDescent="0.3">
      <c r="B84" s="7" t="s">
        <v>207</v>
      </c>
    </row>
    <row r="85" spans="2:2" x14ac:dyDescent="0.3">
      <c r="B85" s="8" t="s">
        <v>208</v>
      </c>
    </row>
    <row r="86" spans="2:2" x14ac:dyDescent="0.3">
      <c r="B86" s="7" t="s">
        <v>209</v>
      </c>
    </row>
    <row r="87" spans="2:2" x14ac:dyDescent="0.3">
      <c r="B87" s="7" t="s">
        <v>210</v>
      </c>
    </row>
    <row r="88" spans="2:2" x14ac:dyDescent="0.3">
      <c r="B88" s="8" t="s">
        <v>211</v>
      </c>
    </row>
    <row r="89" spans="2:2" x14ac:dyDescent="0.3">
      <c r="B89" s="7" t="s">
        <v>212</v>
      </c>
    </row>
    <row r="90" spans="2:2" x14ac:dyDescent="0.3">
      <c r="B90" s="7" t="s">
        <v>213</v>
      </c>
    </row>
    <row r="91" spans="2:2" x14ac:dyDescent="0.3">
      <c r="B91" s="7" t="s">
        <v>214</v>
      </c>
    </row>
    <row r="92" spans="2:2" x14ac:dyDescent="0.3">
      <c r="B92" s="7" t="s">
        <v>215</v>
      </c>
    </row>
    <row r="93" spans="2:2" x14ac:dyDescent="0.3">
      <c r="B93" s="7" t="s">
        <v>216</v>
      </c>
    </row>
    <row r="94" spans="2:2" x14ac:dyDescent="0.3">
      <c r="B94" s="7"/>
    </row>
    <row r="95" spans="2:2" x14ac:dyDescent="0.3">
      <c r="B95" s="7" t="s">
        <v>217</v>
      </c>
    </row>
    <row r="96" spans="2:2" x14ac:dyDescent="0.3">
      <c r="B96" s="7"/>
    </row>
    <row r="97" spans="2:2" x14ac:dyDescent="0.3">
      <c r="B97" s="7" t="s">
        <v>218</v>
      </c>
    </row>
    <row r="98" spans="2:2" x14ac:dyDescent="0.3">
      <c r="B98" s="8" t="s">
        <v>219</v>
      </c>
    </row>
    <row r="99" spans="2:2" x14ac:dyDescent="0.3">
      <c r="B99" s="8" t="s">
        <v>220</v>
      </c>
    </row>
    <row r="100" spans="2:2" x14ac:dyDescent="0.3">
      <c r="B100" s="8" t="s">
        <v>221</v>
      </c>
    </row>
    <row r="101" spans="2:2" x14ac:dyDescent="0.3">
      <c r="B101" s="7" t="s">
        <v>222</v>
      </c>
    </row>
    <row r="102" spans="2:2" x14ac:dyDescent="0.3">
      <c r="B102" s="7" t="s">
        <v>223</v>
      </c>
    </row>
    <row r="103" spans="2:2" x14ac:dyDescent="0.3">
      <c r="B103" s="7" t="s">
        <v>224</v>
      </c>
    </row>
    <row r="104" spans="2:2" x14ac:dyDescent="0.3">
      <c r="B104" s="7" t="s">
        <v>225</v>
      </c>
    </row>
    <row r="105" spans="2:2" x14ac:dyDescent="0.3">
      <c r="B105" s="7" t="s">
        <v>226</v>
      </c>
    </row>
    <row r="106" spans="2:2" x14ac:dyDescent="0.3">
      <c r="B106" s="7" t="s">
        <v>227</v>
      </c>
    </row>
    <row r="107" spans="2:2" x14ac:dyDescent="0.3">
      <c r="B107" s="7" t="s">
        <v>228</v>
      </c>
    </row>
    <row r="108" spans="2:2" x14ac:dyDescent="0.3">
      <c r="B108" s="7" t="s">
        <v>229</v>
      </c>
    </row>
    <row r="109" spans="2:2" x14ac:dyDescent="0.3">
      <c r="B109" s="7" t="s">
        <v>230</v>
      </c>
    </row>
    <row r="110" spans="2:2" x14ac:dyDescent="0.3">
      <c r="B110" s="7" t="s">
        <v>231</v>
      </c>
    </row>
    <row r="111" spans="2:2" x14ac:dyDescent="0.3">
      <c r="B111" s="7"/>
    </row>
    <row r="112" spans="2:2" x14ac:dyDescent="0.3">
      <c r="B112" s="7" t="s">
        <v>232</v>
      </c>
    </row>
    <row r="113" spans="2:2" x14ac:dyDescent="0.3">
      <c r="B113" s="7"/>
    </row>
    <row r="114" spans="2:2" x14ac:dyDescent="0.3">
      <c r="B114" s="7" t="s">
        <v>233</v>
      </c>
    </row>
    <row r="115" spans="2:2" x14ac:dyDescent="0.3">
      <c r="B115" s="7" t="s">
        <v>234</v>
      </c>
    </row>
    <row r="116" spans="2:2" x14ac:dyDescent="0.3">
      <c r="B116" s="7" t="s">
        <v>235</v>
      </c>
    </row>
    <row r="117" spans="2:2" x14ac:dyDescent="0.3">
      <c r="B117" s="7" t="s">
        <v>236</v>
      </c>
    </row>
    <row r="118" spans="2:2" x14ac:dyDescent="0.3">
      <c r="B118" s="7" t="s">
        <v>237</v>
      </c>
    </row>
    <row r="119" spans="2:2" x14ac:dyDescent="0.3">
      <c r="B119" s="7" t="s">
        <v>238</v>
      </c>
    </row>
    <row r="120" spans="2:2" x14ac:dyDescent="0.3">
      <c r="B120" s="7" t="s">
        <v>239</v>
      </c>
    </row>
    <row r="121" spans="2:2" x14ac:dyDescent="0.3">
      <c r="B121" s="7" t="s">
        <v>240</v>
      </c>
    </row>
    <row r="122" spans="2:2" x14ac:dyDescent="0.3">
      <c r="B122" s="7" t="s">
        <v>241</v>
      </c>
    </row>
    <row r="123" spans="2:2" x14ac:dyDescent="0.3">
      <c r="B123" s="7" t="s">
        <v>242</v>
      </c>
    </row>
    <row r="124" spans="2:2" x14ac:dyDescent="0.3">
      <c r="B124" s="7" t="s">
        <v>243</v>
      </c>
    </row>
    <row r="125" spans="2:2" x14ac:dyDescent="0.3">
      <c r="B125" s="7" t="s">
        <v>244</v>
      </c>
    </row>
    <row r="126" spans="2:2" x14ac:dyDescent="0.3">
      <c r="B126" s="7" t="s">
        <v>245</v>
      </c>
    </row>
    <row r="127" spans="2:2" x14ac:dyDescent="0.3">
      <c r="B127" s="7" t="s">
        <v>246</v>
      </c>
    </row>
    <row r="128" spans="2:2" x14ac:dyDescent="0.3">
      <c r="B128" s="7"/>
    </row>
    <row r="129" spans="2:2" x14ac:dyDescent="0.3">
      <c r="B129" s="7" t="s">
        <v>247</v>
      </c>
    </row>
    <row r="130" spans="2:2" x14ac:dyDescent="0.3">
      <c r="B130" s="7"/>
    </row>
    <row r="131" spans="2:2" x14ac:dyDescent="0.3">
      <c r="B131" s="7"/>
    </row>
    <row r="132" spans="2:2" x14ac:dyDescent="0.3">
      <c r="B132" s="7" t="s">
        <v>64</v>
      </c>
    </row>
    <row r="133" spans="2:2" x14ac:dyDescent="0.3">
      <c r="B133" s="7" t="s">
        <v>177</v>
      </c>
    </row>
    <row r="134" spans="2:2" x14ac:dyDescent="0.3">
      <c r="B134" s="7" t="s">
        <v>248</v>
      </c>
    </row>
    <row r="135" spans="2:2" x14ac:dyDescent="0.3">
      <c r="B135" s="7" t="s">
        <v>249</v>
      </c>
    </row>
    <row r="136" spans="2:2" x14ac:dyDescent="0.3">
      <c r="B136" s="7" t="s">
        <v>250</v>
      </c>
    </row>
    <row r="137" spans="2:2" x14ac:dyDescent="0.3">
      <c r="B137" s="7" t="s">
        <v>251</v>
      </c>
    </row>
    <row r="138" spans="2:2" x14ac:dyDescent="0.3">
      <c r="B138" s="7" t="s">
        <v>252</v>
      </c>
    </row>
    <row r="139" spans="2:2" x14ac:dyDescent="0.3">
      <c r="B139" s="7" t="s">
        <v>253</v>
      </c>
    </row>
    <row r="140" spans="2:2" x14ac:dyDescent="0.3">
      <c r="B140" s="7" t="s">
        <v>254</v>
      </c>
    </row>
    <row r="141" spans="2:2" x14ac:dyDescent="0.3">
      <c r="B141" s="7"/>
    </row>
    <row r="142" spans="2:2" x14ac:dyDescent="0.3">
      <c r="B142" s="7"/>
    </row>
    <row r="143" spans="2:2" x14ac:dyDescent="0.3">
      <c r="B143" s="7" t="s">
        <v>698</v>
      </c>
    </row>
    <row r="144" spans="2:2" x14ac:dyDescent="0.3">
      <c r="B144" s="7" t="s">
        <v>706</v>
      </c>
    </row>
    <row r="145" spans="2:2" x14ac:dyDescent="0.3">
      <c r="B145" s="7" t="s">
        <v>707</v>
      </c>
    </row>
    <row r="146" spans="2:2" x14ac:dyDescent="0.3">
      <c r="B146" s="7" t="s">
        <v>708</v>
      </c>
    </row>
    <row r="147" spans="2:2" x14ac:dyDescent="0.3">
      <c r="B147" s="7" t="s">
        <v>709</v>
      </c>
    </row>
    <row r="148" spans="2:2" x14ac:dyDescent="0.3">
      <c r="B148" s="7" t="s">
        <v>710</v>
      </c>
    </row>
    <row r="149" spans="2:2" x14ac:dyDescent="0.3">
      <c r="B149" s="7" t="s">
        <v>711</v>
      </c>
    </row>
    <row r="150" spans="2:2" x14ac:dyDescent="0.3">
      <c r="B150" s="7"/>
    </row>
    <row r="152" spans="2:2" x14ac:dyDescent="0.3">
      <c r="B152" s="7" t="s">
        <v>186</v>
      </c>
    </row>
    <row r="153" spans="2:2" x14ac:dyDescent="0.3">
      <c r="B153" s="7" t="s">
        <v>255</v>
      </c>
    </row>
    <row r="154" spans="2:2" x14ac:dyDescent="0.3">
      <c r="B154" s="8" t="s">
        <v>256</v>
      </c>
    </row>
    <row r="155" spans="2:2" x14ac:dyDescent="0.3">
      <c r="B155" s="7" t="s">
        <v>257</v>
      </c>
    </row>
    <row r="156" spans="2:2" x14ac:dyDescent="0.3">
      <c r="B156" s="7" t="s">
        <v>258</v>
      </c>
    </row>
    <row r="157" spans="2:2" x14ac:dyDescent="0.3">
      <c r="B157" s="8" t="s">
        <v>259</v>
      </c>
    </row>
    <row r="158" spans="2:2" x14ac:dyDescent="0.3">
      <c r="B158" s="7" t="s">
        <v>260</v>
      </c>
    </row>
    <row r="159" spans="2:2" x14ac:dyDescent="0.3">
      <c r="B159" s="7" t="s">
        <v>261</v>
      </c>
    </row>
    <row r="160" spans="2:2" x14ac:dyDescent="0.3">
      <c r="B160" s="8" t="s">
        <v>262</v>
      </c>
    </row>
    <row r="161" spans="2:2" x14ac:dyDescent="0.3">
      <c r="B161" s="7" t="s">
        <v>263</v>
      </c>
    </row>
    <row r="162" spans="2:2" x14ac:dyDescent="0.3">
      <c r="B162" s="7" t="s">
        <v>264</v>
      </c>
    </row>
    <row r="163" spans="2:2" x14ac:dyDescent="0.3">
      <c r="B163" s="8" t="s">
        <v>265</v>
      </c>
    </row>
    <row r="164" spans="2:2" x14ac:dyDescent="0.3">
      <c r="B164" s="8" t="s">
        <v>266</v>
      </c>
    </row>
    <row r="165" spans="2:2" x14ac:dyDescent="0.3">
      <c r="B165" s="8" t="s">
        <v>267</v>
      </c>
    </row>
    <row r="166" spans="2:2" x14ac:dyDescent="0.3">
      <c r="B166" s="7"/>
    </row>
    <row r="167" spans="2:2" x14ac:dyDescent="0.3">
      <c r="B167" s="7"/>
    </row>
    <row r="168" spans="2:2" x14ac:dyDescent="0.3">
      <c r="B168" s="7" t="s">
        <v>201</v>
      </c>
    </row>
    <row r="169" spans="2:2" x14ac:dyDescent="0.3">
      <c r="B169" s="7" t="s">
        <v>268</v>
      </c>
    </row>
    <row r="170" spans="2:2" x14ac:dyDescent="0.3">
      <c r="B170" s="8" t="s">
        <v>269</v>
      </c>
    </row>
    <row r="171" spans="2:2" x14ac:dyDescent="0.3">
      <c r="B171" s="8" t="s">
        <v>270</v>
      </c>
    </row>
    <row r="172" spans="2:2" x14ac:dyDescent="0.3">
      <c r="B172" s="7" t="s">
        <v>271</v>
      </c>
    </row>
    <row r="173" spans="2:2" x14ac:dyDescent="0.3">
      <c r="B173" s="8" t="s">
        <v>272</v>
      </c>
    </row>
    <row r="174" spans="2:2" x14ac:dyDescent="0.3">
      <c r="B174" s="7" t="s">
        <v>273</v>
      </c>
    </row>
    <row r="175" spans="2:2" x14ac:dyDescent="0.3">
      <c r="B175" s="7" t="s">
        <v>274</v>
      </c>
    </row>
    <row r="176" spans="2:2" x14ac:dyDescent="0.3">
      <c r="B176" s="8" t="s">
        <v>275</v>
      </c>
    </row>
    <row r="177" spans="2:2" x14ac:dyDescent="0.3">
      <c r="B177" s="7" t="s">
        <v>276</v>
      </c>
    </row>
    <row r="178" spans="2:2" x14ac:dyDescent="0.3">
      <c r="B178" s="8" t="s">
        <v>277</v>
      </c>
    </row>
    <row r="179" spans="2:2" x14ac:dyDescent="0.3">
      <c r="B179" s="7" t="s">
        <v>278</v>
      </c>
    </row>
    <row r="180" spans="2:2" x14ac:dyDescent="0.3">
      <c r="B180" s="8" t="s">
        <v>279</v>
      </c>
    </row>
    <row r="181" spans="2:2" x14ac:dyDescent="0.3">
      <c r="B181" s="7" t="s">
        <v>280</v>
      </c>
    </row>
    <row r="182" spans="2:2" x14ac:dyDescent="0.3">
      <c r="B182" s="7"/>
    </row>
    <row r="183" spans="2:2" x14ac:dyDescent="0.3">
      <c r="B183" s="7"/>
    </row>
    <row r="184" spans="2:2" x14ac:dyDescent="0.3">
      <c r="B184" s="7" t="s">
        <v>203</v>
      </c>
    </row>
    <row r="185" spans="2:2" x14ac:dyDescent="0.3">
      <c r="B185" s="7" t="s">
        <v>281</v>
      </c>
    </row>
    <row r="186" spans="2:2" x14ac:dyDescent="0.3">
      <c r="B186" s="7" t="s">
        <v>282</v>
      </c>
    </row>
    <row r="187" spans="2:2" x14ac:dyDescent="0.3">
      <c r="B187" s="8" t="s">
        <v>283</v>
      </c>
    </row>
    <row r="188" spans="2:2" x14ac:dyDescent="0.3">
      <c r="B188" s="7" t="s">
        <v>284</v>
      </c>
    </row>
    <row r="189" spans="2:2" x14ac:dyDescent="0.3">
      <c r="B189" s="8" t="s">
        <v>285</v>
      </c>
    </row>
    <row r="190" spans="2:2" x14ac:dyDescent="0.3">
      <c r="B190" s="8" t="s">
        <v>286</v>
      </c>
    </row>
    <row r="191" spans="2:2" x14ac:dyDescent="0.3">
      <c r="B191" s="8" t="s">
        <v>287</v>
      </c>
    </row>
    <row r="192" spans="2:2" x14ac:dyDescent="0.3">
      <c r="B192" s="7" t="s">
        <v>288</v>
      </c>
    </row>
    <row r="193" spans="2:2" x14ac:dyDescent="0.3">
      <c r="B193" s="8" t="s">
        <v>289</v>
      </c>
    </row>
    <row r="194" spans="2:2" x14ac:dyDescent="0.3">
      <c r="B194" s="7" t="s">
        <v>290</v>
      </c>
    </row>
    <row r="195" spans="2:2" x14ac:dyDescent="0.3">
      <c r="B195" s="7" t="s">
        <v>291</v>
      </c>
    </row>
    <row r="196" spans="2:2" x14ac:dyDescent="0.3">
      <c r="B196" s="7" t="s">
        <v>292</v>
      </c>
    </row>
    <row r="197" spans="2:2" x14ac:dyDescent="0.3">
      <c r="B197" s="7" t="s">
        <v>293</v>
      </c>
    </row>
    <row r="200" spans="2:2" x14ac:dyDescent="0.3">
      <c r="B200" s="7" t="s">
        <v>218</v>
      </c>
    </row>
    <row r="201" spans="2:2" x14ac:dyDescent="0.3">
      <c r="B201" s="8" t="s">
        <v>294</v>
      </c>
    </row>
    <row r="202" spans="2:2" x14ac:dyDescent="0.3">
      <c r="B202" s="7" t="s">
        <v>295</v>
      </c>
    </row>
    <row r="203" spans="2:2" x14ac:dyDescent="0.3">
      <c r="B203" s="8" t="s">
        <v>296</v>
      </c>
    </row>
    <row r="204" spans="2:2" x14ac:dyDescent="0.3">
      <c r="B204" s="7" t="s">
        <v>297</v>
      </c>
    </row>
    <row r="205" spans="2:2" x14ac:dyDescent="0.3">
      <c r="B205" s="7" t="s">
        <v>298</v>
      </c>
    </row>
    <row r="206" spans="2:2" x14ac:dyDescent="0.3">
      <c r="B206" s="8" t="s">
        <v>299</v>
      </c>
    </row>
    <row r="207" spans="2:2" x14ac:dyDescent="0.3">
      <c r="B207" s="8" t="s">
        <v>300</v>
      </c>
    </row>
    <row r="208" spans="2:2" x14ac:dyDescent="0.3">
      <c r="B208" s="8" t="s">
        <v>301</v>
      </c>
    </row>
    <row r="209" spans="2:2" x14ac:dyDescent="0.3">
      <c r="B209" s="8" t="s">
        <v>302</v>
      </c>
    </row>
    <row r="210" spans="2:2" x14ac:dyDescent="0.3">
      <c r="B210" s="8" t="s">
        <v>303</v>
      </c>
    </row>
    <row r="211" spans="2:2" x14ac:dyDescent="0.3">
      <c r="B211" s="8" t="s">
        <v>304</v>
      </c>
    </row>
    <row r="212" spans="2:2" x14ac:dyDescent="0.3">
      <c r="B212" s="7" t="s">
        <v>305</v>
      </c>
    </row>
    <row r="213" spans="2:2" x14ac:dyDescent="0.3">
      <c r="B213" s="7" t="s">
        <v>306</v>
      </c>
    </row>
    <row r="215" spans="2:2" x14ac:dyDescent="0.3">
      <c r="B215" s="7"/>
    </row>
    <row r="216" spans="2:2" x14ac:dyDescent="0.3">
      <c r="B216" s="7" t="s">
        <v>233</v>
      </c>
    </row>
    <row r="217" spans="2:2" x14ac:dyDescent="0.3">
      <c r="B217" s="8" t="s">
        <v>307</v>
      </c>
    </row>
    <row r="218" spans="2:2" x14ac:dyDescent="0.3">
      <c r="B218" s="7" t="s">
        <v>308</v>
      </c>
    </row>
    <row r="219" spans="2:2" x14ac:dyDescent="0.3">
      <c r="B219" s="7" t="s">
        <v>309</v>
      </c>
    </row>
    <row r="220" spans="2:2" x14ac:dyDescent="0.3">
      <c r="B220" s="8" t="s">
        <v>310</v>
      </c>
    </row>
    <row r="221" spans="2:2" x14ac:dyDescent="0.3">
      <c r="B221" s="7" t="s">
        <v>311</v>
      </c>
    </row>
    <row r="222" spans="2:2" x14ac:dyDescent="0.3">
      <c r="B222" s="7" t="s">
        <v>312</v>
      </c>
    </row>
    <row r="223" spans="2:2" x14ac:dyDescent="0.3">
      <c r="B223" s="7" t="s">
        <v>313</v>
      </c>
    </row>
    <row r="224" spans="2:2" x14ac:dyDescent="0.3">
      <c r="B224" s="7" t="s">
        <v>314</v>
      </c>
    </row>
    <row r="225" spans="2:2" x14ac:dyDescent="0.3">
      <c r="B225" s="8" t="s">
        <v>315</v>
      </c>
    </row>
    <row r="226" spans="2:2" x14ac:dyDescent="0.3">
      <c r="B226" s="8" t="s">
        <v>316</v>
      </c>
    </row>
    <row r="227" spans="2:2" x14ac:dyDescent="0.3">
      <c r="B227" s="8" t="s">
        <v>317</v>
      </c>
    </row>
    <row r="228" spans="2:2" x14ac:dyDescent="0.3">
      <c r="B228" s="7" t="s">
        <v>318</v>
      </c>
    </row>
    <row r="229" spans="2:2" x14ac:dyDescent="0.3">
      <c r="B229" s="7" t="s">
        <v>319</v>
      </c>
    </row>
    <row r="230" spans="2:2" x14ac:dyDescent="0.3">
      <c r="B230" s="7"/>
    </row>
    <row r="231" spans="2:2" x14ac:dyDescent="0.3">
      <c r="B231" s="7"/>
    </row>
    <row r="232" spans="2:2" x14ac:dyDescent="0.3">
      <c r="B232" s="7"/>
    </row>
    <row r="233" spans="2:2" x14ac:dyDescent="0.3">
      <c r="B233" s="7" t="s">
        <v>65</v>
      </c>
    </row>
    <row r="234" spans="2:2" x14ac:dyDescent="0.3">
      <c r="B234" s="7" t="s">
        <v>177</v>
      </c>
    </row>
    <row r="235" spans="2:2" x14ac:dyDescent="0.3">
      <c r="B235" s="7" t="s">
        <v>320</v>
      </c>
    </row>
    <row r="236" spans="2:2" x14ac:dyDescent="0.3">
      <c r="B236" s="7" t="s">
        <v>321</v>
      </c>
    </row>
    <row r="237" spans="2:2" x14ac:dyDescent="0.3">
      <c r="B237" s="8" t="s">
        <v>322</v>
      </c>
    </row>
    <row r="238" spans="2:2" x14ac:dyDescent="0.3">
      <c r="B238" s="8" t="s">
        <v>323</v>
      </c>
    </row>
    <row r="239" spans="2:2" x14ac:dyDescent="0.3">
      <c r="B239" s="8" t="s">
        <v>324</v>
      </c>
    </row>
    <row r="240" spans="2:2" x14ac:dyDescent="0.3">
      <c r="B240" s="7" t="s">
        <v>325</v>
      </c>
    </row>
    <row r="241" spans="2:2" x14ac:dyDescent="0.3">
      <c r="B241" s="8" t="s">
        <v>326</v>
      </c>
    </row>
    <row r="243" spans="2:2" x14ac:dyDescent="0.3">
      <c r="B243" s="7"/>
    </row>
    <row r="244" spans="2:2" x14ac:dyDescent="0.3">
      <c r="B244" s="7" t="s">
        <v>698</v>
      </c>
    </row>
    <row r="245" spans="2:2" x14ac:dyDescent="0.3">
      <c r="B245" s="8" t="s">
        <v>712</v>
      </c>
    </row>
    <row r="246" spans="2:2" x14ac:dyDescent="0.3">
      <c r="B246" s="8" t="s">
        <v>713</v>
      </c>
    </row>
    <row r="247" spans="2:2" x14ac:dyDescent="0.3">
      <c r="B247" s="8" t="s">
        <v>714</v>
      </c>
    </row>
    <row r="248" spans="2:2" x14ac:dyDescent="0.3">
      <c r="B248" s="8" t="s">
        <v>715</v>
      </c>
    </row>
    <row r="249" spans="2:2" x14ac:dyDescent="0.3">
      <c r="B249" s="8" t="s">
        <v>716</v>
      </c>
    </row>
    <row r="250" spans="2:2" x14ac:dyDescent="0.3">
      <c r="B250" s="7" t="s">
        <v>717</v>
      </c>
    </row>
    <row r="251" spans="2:2" x14ac:dyDescent="0.3">
      <c r="B251" s="7"/>
    </row>
    <row r="253" spans="2:2" x14ac:dyDescent="0.3">
      <c r="B253" s="7" t="s">
        <v>186</v>
      </c>
    </row>
    <row r="254" spans="2:2" x14ac:dyDescent="0.3">
      <c r="B254" s="8" t="s">
        <v>327</v>
      </c>
    </row>
    <row r="255" spans="2:2" x14ac:dyDescent="0.3">
      <c r="B255" s="7" t="s">
        <v>328</v>
      </c>
    </row>
    <row r="256" spans="2:2" x14ac:dyDescent="0.3">
      <c r="B256" s="8" t="s">
        <v>329</v>
      </c>
    </row>
    <row r="257" spans="2:2" x14ac:dyDescent="0.3">
      <c r="B257" s="8" t="s">
        <v>330</v>
      </c>
    </row>
    <row r="258" spans="2:2" x14ac:dyDescent="0.3">
      <c r="B258" s="8" t="s">
        <v>331</v>
      </c>
    </row>
    <row r="259" spans="2:2" x14ac:dyDescent="0.3">
      <c r="B259" s="8" t="s">
        <v>332</v>
      </c>
    </row>
    <row r="260" spans="2:2" x14ac:dyDescent="0.3">
      <c r="B260" s="8" t="s">
        <v>333</v>
      </c>
    </row>
    <row r="261" spans="2:2" x14ac:dyDescent="0.3">
      <c r="B261" s="8" t="s">
        <v>334</v>
      </c>
    </row>
    <row r="262" spans="2:2" x14ac:dyDescent="0.3">
      <c r="B262" s="7" t="s">
        <v>335</v>
      </c>
    </row>
    <row r="263" spans="2:2" x14ac:dyDescent="0.3">
      <c r="B263" s="7" t="s">
        <v>336</v>
      </c>
    </row>
    <row r="264" spans="2:2" x14ac:dyDescent="0.3">
      <c r="B264" s="8" t="s">
        <v>337</v>
      </c>
    </row>
    <row r="265" spans="2:2" x14ac:dyDescent="0.3">
      <c r="B265" s="8" t="s">
        <v>338</v>
      </c>
    </row>
    <row r="266" spans="2:2" x14ac:dyDescent="0.3">
      <c r="B266" s="8" t="s">
        <v>339</v>
      </c>
    </row>
    <row r="267" spans="2:2" x14ac:dyDescent="0.3">
      <c r="B267" s="7"/>
    </row>
    <row r="269" spans="2:2" x14ac:dyDescent="0.3">
      <c r="B269" s="7" t="s">
        <v>201</v>
      </c>
    </row>
    <row r="270" spans="2:2" x14ac:dyDescent="0.3">
      <c r="B270" s="7" t="s">
        <v>340</v>
      </c>
    </row>
    <row r="271" spans="2:2" x14ac:dyDescent="0.3">
      <c r="B271" s="8" t="s">
        <v>341</v>
      </c>
    </row>
    <row r="272" spans="2:2" x14ac:dyDescent="0.3">
      <c r="B272" s="8" t="s">
        <v>342</v>
      </c>
    </row>
    <row r="273" spans="2:2" x14ac:dyDescent="0.3">
      <c r="B273" s="8" t="s">
        <v>343</v>
      </c>
    </row>
    <row r="274" spans="2:2" x14ac:dyDescent="0.3">
      <c r="B274" s="8" t="s">
        <v>344</v>
      </c>
    </row>
    <row r="275" spans="2:2" x14ac:dyDescent="0.3">
      <c r="B275" s="8" t="s">
        <v>345</v>
      </c>
    </row>
    <row r="276" spans="2:2" x14ac:dyDescent="0.3">
      <c r="B276" s="8" t="s">
        <v>346</v>
      </c>
    </row>
    <row r="277" spans="2:2" x14ac:dyDescent="0.3">
      <c r="B277" s="7" t="s">
        <v>347</v>
      </c>
    </row>
    <row r="278" spans="2:2" x14ac:dyDescent="0.3">
      <c r="B278" s="7" t="s">
        <v>348</v>
      </c>
    </row>
    <row r="279" spans="2:2" x14ac:dyDescent="0.3">
      <c r="B279" s="8" t="s">
        <v>349</v>
      </c>
    </row>
    <row r="280" spans="2:2" x14ac:dyDescent="0.3">
      <c r="B280" s="8" t="s">
        <v>350</v>
      </c>
    </row>
    <row r="281" spans="2:2" x14ac:dyDescent="0.3">
      <c r="B281" s="8" t="s">
        <v>351</v>
      </c>
    </row>
    <row r="282" spans="2:2" x14ac:dyDescent="0.3">
      <c r="B282" s="8" t="s">
        <v>352</v>
      </c>
    </row>
    <row r="283" spans="2:2" x14ac:dyDescent="0.3">
      <c r="B283" s="7"/>
    </row>
    <row r="285" spans="2:2" x14ac:dyDescent="0.3">
      <c r="B285" s="7" t="s">
        <v>203</v>
      </c>
    </row>
    <row r="286" spans="2:2" x14ac:dyDescent="0.3">
      <c r="B286" s="8" t="s">
        <v>353</v>
      </c>
    </row>
    <row r="287" spans="2:2" x14ac:dyDescent="0.3">
      <c r="B287" s="8" t="s">
        <v>354</v>
      </c>
    </row>
    <row r="288" spans="2:2" x14ac:dyDescent="0.3">
      <c r="B288" s="8" t="s">
        <v>355</v>
      </c>
    </row>
    <row r="289" spans="2:2" x14ac:dyDescent="0.3">
      <c r="B289" s="8" t="s">
        <v>356</v>
      </c>
    </row>
    <row r="290" spans="2:2" x14ac:dyDescent="0.3">
      <c r="B290" s="8" t="s">
        <v>357</v>
      </c>
    </row>
    <row r="291" spans="2:2" x14ac:dyDescent="0.3">
      <c r="B291" s="8" t="s">
        <v>358</v>
      </c>
    </row>
    <row r="292" spans="2:2" x14ac:dyDescent="0.3">
      <c r="B292" s="8" t="s">
        <v>359</v>
      </c>
    </row>
    <row r="293" spans="2:2" x14ac:dyDescent="0.3">
      <c r="B293" s="7" t="s">
        <v>360</v>
      </c>
    </row>
    <row r="294" spans="2:2" x14ac:dyDescent="0.3">
      <c r="B294" s="8" t="s">
        <v>361</v>
      </c>
    </row>
    <row r="295" spans="2:2" x14ac:dyDescent="0.3">
      <c r="B295" s="8" t="s">
        <v>362</v>
      </c>
    </row>
    <row r="296" spans="2:2" x14ac:dyDescent="0.3">
      <c r="B296" s="8" t="s">
        <v>363</v>
      </c>
    </row>
    <row r="297" spans="2:2" x14ac:dyDescent="0.3">
      <c r="B297" s="8" t="s">
        <v>364</v>
      </c>
    </row>
    <row r="298" spans="2:2" x14ac:dyDescent="0.3">
      <c r="B298" s="8" t="s">
        <v>365</v>
      </c>
    </row>
    <row r="299" spans="2:2" x14ac:dyDescent="0.3">
      <c r="B299" s="7"/>
    </row>
    <row r="300" spans="2:2" x14ac:dyDescent="0.3">
      <c r="B300" s="7"/>
    </row>
    <row r="301" spans="2:2" x14ac:dyDescent="0.3">
      <c r="B301" s="7" t="s">
        <v>218</v>
      </c>
    </row>
    <row r="302" spans="2:2" x14ac:dyDescent="0.3">
      <c r="B302" s="8" t="s">
        <v>366</v>
      </c>
    </row>
    <row r="303" spans="2:2" x14ac:dyDescent="0.3">
      <c r="B303" s="8" t="s">
        <v>367</v>
      </c>
    </row>
    <row r="304" spans="2:2" x14ac:dyDescent="0.3">
      <c r="B304" s="8" t="s">
        <v>368</v>
      </c>
    </row>
    <row r="305" spans="2:2" x14ac:dyDescent="0.3">
      <c r="B305" s="8" t="s">
        <v>369</v>
      </c>
    </row>
    <row r="306" spans="2:2" x14ac:dyDescent="0.3">
      <c r="B306" s="8" t="s">
        <v>370</v>
      </c>
    </row>
    <row r="307" spans="2:2" x14ac:dyDescent="0.3">
      <c r="B307" s="8" t="s">
        <v>371</v>
      </c>
    </row>
    <row r="308" spans="2:2" x14ac:dyDescent="0.3">
      <c r="B308" s="7" t="s">
        <v>372</v>
      </c>
    </row>
    <row r="309" spans="2:2" x14ac:dyDescent="0.3">
      <c r="B309" s="7" t="s">
        <v>373</v>
      </c>
    </row>
    <row r="310" spans="2:2" x14ac:dyDescent="0.3">
      <c r="B310" s="8" t="s">
        <v>374</v>
      </c>
    </row>
    <row r="311" spans="2:2" x14ac:dyDescent="0.3">
      <c r="B311" s="7" t="s">
        <v>375</v>
      </c>
    </row>
    <row r="312" spans="2:2" x14ac:dyDescent="0.3">
      <c r="B312" s="8" t="s">
        <v>376</v>
      </c>
    </row>
    <row r="313" spans="2:2" x14ac:dyDescent="0.3">
      <c r="B313" s="8" t="s">
        <v>377</v>
      </c>
    </row>
    <row r="314" spans="2:2" x14ac:dyDescent="0.3">
      <c r="B314" s="8" t="s">
        <v>378</v>
      </c>
    </row>
    <row r="316" spans="2:2" x14ac:dyDescent="0.3">
      <c r="B316" s="7"/>
    </row>
    <row r="317" spans="2:2" x14ac:dyDescent="0.3">
      <c r="B317" s="7" t="s">
        <v>233</v>
      </c>
    </row>
    <row r="318" spans="2:2" x14ac:dyDescent="0.3">
      <c r="B318" s="7" t="s">
        <v>379</v>
      </c>
    </row>
    <row r="319" spans="2:2" x14ac:dyDescent="0.3">
      <c r="B319" s="7" t="s">
        <v>380</v>
      </c>
    </row>
    <row r="320" spans="2:2" x14ac:dyDescent="0.3">
      <c r="B320" s="8" t="s">
        <v>381</v>
      </c>
    </row>
    <row r="321" spans="2:2" x14ac:dyDescent="0.3">
      <c r="B321" s="8" t="s">
        <v>382</v>
      </c>
    </row>
    <row r="322" spans="2:2" x14ac:dyDescent="0.3">
      <c r="B322" s="8" t="s">
        <v>383</v>
      </c>
    </row>
    <row r="323" spans="2:2" x14ac:dyDescent="0.3">
      <c r="B323" s="8" t="s">
        <v>384</v>
      </c>
    </row>
    <row r="324" spans="2:2" x14ac:dyDescent="0.3">
      <c r="B324" s="8" t="s">
        <v>385</v>
      </c>
    </row>
    <row r="325" spans="2:2" x14ac:dyDescent="0.3">
      <c r="B325" s="8" t="s">
        <v>386</v>
      </c>
    </row>
    <row r="326" spans="2:2" x14ac:dyDescent="0.3">
      <c r="B326" s="7" t="s">
        <v>387</v>
      </c>
    </row>
    <row r="327" spans="2:2" x14ac:dyDescent="0.3">
      <c r="B327" s="7" t="s">
        <v>388</v>
      </c>
    </row>
    <row r="328" spans="2:2" x14ac:dyDescent="0.3">
      <c r="B328" s="8" t="s">
        <v>389</v>
      </c>
    </row>
    <row r="329" spans="2:2" x14ac:dyDescent="0.3">
      <c r="B329" s="8" t="s">
        <v>390</v>
      </c>
    </row>
    <row r="330" spans="2:2" x14ac:dyDescent="0.3">
      <c r="B330" s="8" t="s">
        <v>391</v>
      </c>
    </row>
    <row r="334" spans="2:2" x14ac:dyDescent="0.3">
      <c r="B334" s="7" t="s">
        <v>66</v>
      </c>
    </row>
    <row r="335" spans="2:2" x14ac:dyDescent="0.3">
      <c r="B335" s="8" t="s">
        <v>392</v>
      </c>
    </row>
    <row r="336" spans="2:2" x14ac:dyDescent="0.3">
      <c r="B336" s="8" t="s">
        <v>393</v>
      </c>
    </row>
    <row r="337" spans="2:2" x14ac:dyDescent="0.3">
      <c r="B337" s="8" t="s">
        <v>394</v>
      </c>
    </row>
    <row r="339" spans="2:2" x14ac:dyDescent="0.3">
      <c r="B339" s="8" t="s">
        <v>395</v>
      </c>
    </row>
    <row r="340" spans="2:2" x14ac:dyDescent="0.3">
      <c r="B340" s="8" t="s">
        <v>396</v>
      </c>
    </row>
    <row r="341" spans="2:2" x14ac:dyDescent="0.3">
      <c r="B341" s="8" t="s">
        <v>397</v>
      </c>
    </row>
    <row r="343" spans="2:2" x14ac:dyDescent="0.3">
      <c r="B343" s="8" t="s">
        <v>398</v>
      </c>
    </row>
    <row r="344" spans="2:2" x14ac:dyDescent="0.3">
      <c r="B344" s="8" t="s">
        <v>399</v>
      </c>
    </row>
    <row r="345" spans="2:2" x14ac:dyDescent="0.3">
      <c r="B345" s="8" t="s">
        <v>400</v>
      </c>
    </row>
    <row r="347" spans="2:2" x14ac:dyDescent="0.3">
      <c r="B347" s="7" t="s">
        <v>401</v>
      </c>
    </row>
    <row r="348" spans="2:2" x14ac:dyDescent="0.3">
      <c r="B348" s="8" t="s">
        <v>402</v>
      </c>
    </row>
    <row r="349" spans="2:2" x14ac:dyDescent="0.3">
      <c r="B349" s="8" t="s">
        <v>403</v>
      </c>
    </row>
    <row r="350" spans="2:2" x14ac:dyDescent="0.3">
      <c r="B350" s="7"/>
    </row>
    <row r="351" spans="2:2" x14ac:dyDescent="0.3">
      <c r="B351" s="8" t="s">
        <v>404</v>
      </c>
    </row>
    <row r="352" spans="2:2" x14ac:dyDescent="0.3">
      <c r="B352" s="7" t="s">
        <v>405</v>
      </c>
    </row>
    <row r="353" spans="2:2" x14ac:dyDescent="0.3">
      <c r="B353" s="7" t="s">
        <v>406</v>
      </c>
    </row>
    <row r="354" spans="2:2" x14ac:dyDescent="0.3">
      <c r="B354" s="7"/>
    </row>
    <row r="355" spans="2:2" x14ac:dyDescent="0.3">
      <c r="B355" s="7" t="s">
        <v>407</v>
      </c>
    </row>
    <row r="356" spans="2:2" x14ac:dyDescent="0.3">
      <c r="B356" s="8" t="s">
        <v>408</v>
      </c>
    </row>
    <row r="357" spans="2:2" x14ac:dyDescent="0.3">
      <c r="B357" s="7" t="s">
        <v>409</v>
      </c>
    </row>
    <row r="358" spans="2:2" x14ac:dyDescent="0.3">
      <c r="B358" s="7"/>
    </row>
    <row r="359" spans="2:2" x14ac:dyDescent="0.3">
      <c r="B359" s="7" t="s">
        <v>410</v>
      </c>
    </row>
    <row r="360" spans="2:2" x14ac:dyDescent="0.3">
      <c r="B360" s="7" t="s">
        <v>411</v>
      </c>
    </row>
    <row r="361" spans="2:2" x14ac:dyDescent="0.3">
      <c r="B361" s="7" t="s">
        <v>412</v>
      </c>
    </row>
    <row r="362" spans="2:2" x14ac:dyDescent="0.3">
      <c r="B362" s="7"/>
    </row>
    <row r="365" spans="2:2" x14ac:dyDescent="0.3">
      <c r="B365" s="7" t="s">
        <v>67</v>
      </c>
    </row>
    <row r="366" spans="2:2" x14ac:dyDescent="0.3">
      <c r="B366" s="8" t="s">
        <v>718</v>
      </c>
    </row>
    <row r="367" spans="2:2" x14ac:dyDescent="0.3">
      <c r="B367" s="8" t="s">
        <v>719</v>
      </c>
    </row>
    <row r="368" spans="2:2" x14ac:dyDescent="0.3">
      <c r="B368" s="8" t="s">
        <v>720</v>
      </c>
    </row>
    <row r="369" spans="2:2" x14ac:dyDescent="0.3">
      <c r="B369" s="8" t="s">
        <v>721</v>
      </c>
    </row>
    <row r="371" spans="2:2" x14ac:dyDescent="0.3">
      <c r="B371" s="7" t="s">
        <v>68</v>
      </c>
    </row>
    <row r="373" spans="2:2" x14ac:dyDescent="0.3">
      <c r="B373" s="7" t="s">
        <v>69</v>
      </c>
    </row>
    <row r="374" spans="2:2" x14ac:dyDescent="0.3">
      <c r="B374" s="8" t="s">
        <v>70</v>
      </c>
    </row>
    <row r="375" spans="2:2" x14ac:dyDescent="0.3">
      <c r="B375" s="8" t="s">
        <v>71</v>
      </c>
    </row>
    <row r="377" spans="2:2" x14ac:dyDescent="0.3">
      <c r="B377" s="8" t="s">
        <v>72</v>
      </c>
    </row>
    <row r="378" spans="2:2" x14ac:dyDescent="0.3">
      <c r="B378" s="8" t="s">
        <v>73</v>
      </c>
    </row>
    <row r="379" spans="2:2" x14ac:dyDescent="0.3">
      <c r="B379" s="8" t="s">
        <v>74</v>
      </c>
    </row>
    <row r="381" spans="2:2" x14ac:dyDescent="0.3">
      <c r="B381" s="8" t="s">
        <v>75</v>
      </c>
    </row>
    <row r="382" spans="2:2" x14ac:dyDescent="0.3">
      <c r="B382" s="8" t="s">
        <v>76</v>
      </c>
    </row>
  </sheetData>
  <pageMargins left="0.7" right="0.7" top="0.75" bottom="0.75" header="0.3" footer="0.3"/>
  <pageSetup orientation="portrait" horizontalDpi="4294967292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lectCode">
                <anchor moveWithCells="1" sizeWithCells="1">
                  <from>
                    <xdr:col>0</xdr:col>
                    <xdr:colOff>38100</xdr:colOff>
                    <xdr:row>1</xdr:row>
                    <xdr:rowOff>95250</xdr:rowOff>
                  </from>
                  <to>
                    <xdr:col>0</xdr:col>
                    <xdr:colOff>1057275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028BE-FDEA-40D0-9B82-A68E92FCAF1A}">
  <sheetPr codeName="Sheet3"/>
  <dimension ref="B1:B518"/>
  <sheetViews>
    <sheetView topLeftCell="B1" zoomScale="160" zoomScaleNormal="160" workbookViewId="0">
      <selection activeCell="B10" sqref="B10"/>
    </sheetView>
  </sheetViews>
  <sheetFormatPr defaultColWidth="8.85546875" defaultRowHeight="16.5" x14ac:dyDescent="0.3"/>
  <cols>
    <col min="1" max="1" width="20" style="9" customWidth="1"/>
    <col min="2" max="2" width="176.5703125" style="9" bestFit="1" customWidth="1"/>
    <col min="3" max="16384" width="8.85546875" style="9"/>
  </cols>
  <sheetData>
    <row r="1" spans="2:2" x14ac:dyDescent="0.3">
      <c r="B1" s="9" t="s">
        <v>57</v>
      </c>
    </row>
    <row r="3" spans="2:2" x14ac:dyDescent="0.3">
      <c r="B3" s="10" t="s">
        <v>99</v>
      </c>
    </row>
    <row r="5" spans="2:2" x14ac:dyDescent="0.3">
      <c r="B5" s="10" t="s">
        <v>77</v>
      </c>
    </row>
    <row r="6" spans="2:2" x14ac:dyDescent="0.3">
      <c r="B6" s="10" t="s">
        <v>413</v>
      </c>
    </row>
    <row r="8" spans="2:2" x14ac:dyDescent="0.3">
      <c r="B8" s="10" t="s">
        <v>78</v>
      </c>
    </row>
    <row r="9" spans="2:2" x14ac:dyDescent="0.3">
      <c r="B9" s="9" t="s">
        <v>414</v>
      </c>
    </row>
    <row r="10" spans="2:2" x14ac:dyDescent="0.3">
      <c r="B10" s="9" t="s">
        <v>415</v>
      </c>
    </row>
    <row r="11" spans="2:2" x14ac:dyDescent="0.3">
      <c r="B11" s="9" t="s">
        <v>416</v>
      </c>
    </row>
    <row r="13" spans="2:2" x14ac:dyDescent="0.3">
      <c r="B13" s="9" t="s">
        <v>79</v>
      </c>
    </row>
    <row r="16" spans="2:2" x14ac:dyDescent="0.3">
      <c r="B16" s="9" t="s">
        <v>100</v>
      </c>
    </row>
    <row r="18" spans="2:2" x14ac:dyDescent="0.3">
      <c r="B18" s="9" t="s">
        <v>80</v>
      </c>
    </row>
    <row r="20" spans="2:2" x14ac:dyDescent="0.3">
      <c r="B20" s="9" t="s">
        <v>81</v>
      </c>
    </row>
    <row r="22" spans="2:2" x14ac:dyDescent="0.3">
      <c r="B22" s="9" t="s">
        <v>82</v>
      </c>
    </row>
    <row r="23" spans="2:2" x14ac:dyDescent="0.3">
      <c r="B23" s="10" t="s">
        <v>111</v>
      </c>
    </row>
    <row r="25" spans="2:2" x14ac:dyDescent="0.3">
      <c r="B25" s="10" t="s">
        <v>83</v>
      </c>
    </row>
    <row r="26" spans="2:2" x14ac:dyDescent="0.3">
      <c r="B26" s="10" t="s">
        <v>112</v>
      </c>
    </row>
    <row r="28" spans="2:2" x14ac:dyDescent="0.3">
      <c r="B28" s="10" t="s">
        <v>417</v>
      </c>
    </row>
    <row r="29" spans="2:2" x14ac:dyDescent="0.3">
      <c r="B29" s="10"/>
    </row>
    <row r="30" spans="2:2" x14ac:dyDescent="0.3">
      <c r="B30" s="9" t="s">
        <v>82</v>
      </c>
    </row>
    <row r="31" spans="2:2" x14ac:dyDescent="0.3">
      <c r="B31" s="10" t="s">
        <v>418</v>
      </c>
    </row>
    <row r="32" spans="2:2" x14ac:dyDescent="0.3">
      <c r="B32" s="10"/>
    </row>
    <row r="33" spans="2:2" x14ac:dyDescent="0.3">
      <c r="B33" s="10" t="s">
        <v>83</v>
      </c>
    </row>
    <row r="34" spans="2:2" x14ac:dyDescent="0.3">
      <c r="B34" s="10" t="s">
        <v>419</v>
      </c>
    </row>
    <row r="35" spans="2:2" x14ac:dyDescent="0.3">
      <c r="B35" s="10" t="s">
        <v>420</v>
      </c>
    </row>
    <row r="36" spans="2:2" x14ac:dyDescent="0.3">
      <c r="B36" s="10" t="s">
        <v>421</v>
      </c>
    </row>
    <row r="37" spans="2:2" x14ac:dyDescent="0.3">
      <c r="B37" s="10" t="s">
        <v>422</v>
      </c>
    </row>
    <row r="38" spans="2:2" x14ac:dyDescent="0.3">
      <c r="B38" s="10" t="s">
        <v>423</v>
      </c>
    </row>
    <row r="39" spans="2:2" x14ac:dyDescent="0.3">
      <c r="B39" s="10" t="s">
        <v>424</v>
      </c>
    </row>
    <row r="40" spans="2:2" x14ac:dyDescent="0.3">
      <c r="B40" s="10" t="s">
        <v>425</v>
      </c>
    </row>
    <row r="41" spans="2:2" x14ac:dyDescent="0.3">
      <c r="B41" s="10"/>
    </row>
    <row r="42" spans="2:2" x14ac:dyDescent="0.3">
      <c r="B42" s="10" t="s">
        <v>426</v>
      </c>
    </row>
    <row r="43" spans="2:2" x14ac:dyDescent="0.3">
      <c r="B43" s="10"/>
    </row>
    <row r="44" spans="2:2" x14ac:dyDescent="0.3">
      <c r="B44" s="10" t="s">
        <v>82</v>
      </c>
    </row>
    <row r="45" spans="2:2" x14ac:dyDescent="0.3">
      <c r="B45" s="10" t="s">
        <v>427</v>
      </c>
    </row>
    <row r="46" spans="2:2" x14ac:dyDescent="0.3">
      <c r="B46" s="10"/>
    </row>
    <row r="47" spans="2:2" x14ac:dyDescent="0.3">
      <c r="B47" s="10" t="s">
        <v>83</v>
      </c>
    </row>
    <row r="48" spans="2:2" x14ac:dyDescent="0.3">
      <c r="B48" s="10" t="s">
        <v>722</v>
      </c>
    </row>
    <row r="49" spans="2:2" x14ac:dyDescent="0.3">
      <c r="B49" s="10" t="s">
        <v>723</v>
      </c>
    </row>
    <row r="50" spans="2:2" x14ac:dyDescent="0.3">
      <c r="B50" s="10" t="s">
        <v>724</v>
      </c>
    </row>
    <row r="51" spans="2:2" x14ac:dyDescent="0.3">
      <c r="B51" s="10" t="s">
        <v>725</v>
      </c>
    </row>
    <row r="52" spans="2:2" x14ac:dyDescent="0.3">
      <c r="B52" s="10" t="s">
        <v>726</v>
      </c>
    </row>
    <row r="53" spans="2:2" x14ac:dyDescent="0.3">
      <c r="B53" s="10" t="s">
        <v>727</v>
      </c>
    </row>
    <row r="54" spans="2:2" x14ac:dyDescent="0.3">
      <c r="B54" s="10"/>
    </row>
    <row r="55" spans="2:2" x14ac:dyDescent="0.3">
      <c r="B55" s="10" t="s">
        <v>428</v>
      </c>
    </row>
    <row r="56" spans="2:2" x14ac:dyDescent="0.3">
      <c r="B56" s="10"/>
    </row>
    <row r="57" spans="2:2" x14ac:dyDescent="0.3">
      <c r="B57" s="10" t="s">
        <v>82</v>
      </c>
    </row>
    <row r="58" spans="2:2" x14ac:dyDescent="0.3">
      <c r="B58" s="10" t="s">
        <v>429</v>
      </c>
    </row>
    <row r="59" spans="2:2" x14ac:dyDescent="0.3">
      <c r="B59" s="10"/>
    </row>
    <row r="60" spans="2:2" x14ac:dyDescent="0.3">
      <c r="B60" s="10" t="s">
        <v>83</v>
      </c>
    </row>
    <row r="61" spans="2:2" x14ac:dyDescent="0.3">
      <c r="B61" s="10" t="s">
        <v>430</v>
      </c>
    </row>
    <row r="62" spans="2:2" x14ac:dyDescent="0.3">
      <c r="B62" s="10" t="s">
        <v>431</v>
      </c>
    </row>
    <row r="63" spans="2:2" x14ac:dyDescent="0.3">
      <c r="B63" s="9" t="s">
        <v>432</v>
      </c>
    </row>
    <row r="64" spans="2:2" x14ac:dyDescent="0.3">
      <c r="B64" s="10" t="s">
        <v>433</v>
      </c>
    </row>
    <row r="65" spans="2:2" x14ac:dyDescent="0.3">
      <c r="B65" s="10" t="s">
        <v>434</v>
      </c>
    </row>
    <row r="66" spans="2:2" x14ac:dyDescent="0.3">
      <c r="B66" s="10" t="s">
        <v>435</v>
      </c>
    </row>
    <row r="67" spans="2:2" x14ac:dyDescent="0.3">
      <c r="B67" s="10" t="s">
        <v>436</v>
      </c>
    </row>
    <row r="68" spans="2:2" x14ac:dyDescent="0.3">
      <c r="B68" s="10" t="s">
        <v>437</v>
      </c>
    </row>
    <row r="69" spans="2:2" x14ac:dyDescent="0.3">
      <c r="B69" s="10" t="s">
        <v>438</v>
      </c>
    </row>
    <row r="70" spans="2:2" x14ac:dyDescent="0.3">
      <c r="B70" s="10" t="s">
        <v>439</v>
      </c>
    </row>
    <row r="71" spans="2:2" x14ac:dyDescent="0.3">
      <c r="B71" s="9" t="s">
        <v>440</v>
      </c>
    </row>
    <row r="72" spans="2:2" x14ac:dyDescent="0.3">
      <c r="B72" s="10" t="s">
        <v>441</v>
      </c>
    </row>
    <row r="73" spans="2:2" x14ac:dyDescent="0.3">
      <c r="B73" s="10" t="s">
        <v>442</v>
      </c>
    </row>
    <row r="75" spans="2:2" x14ac:dyDescent="0.3">
      <c r="B75" s="10" t="s">
        <v>443</v>
      </c>
    </row>
    <row r="76" spans="2:2" x14ac:dyDescent="0.3">
      <c r="B76" s="10"/>
    </row>
    <row r="77" spans="2:2" x14ac:dyDescent="0.3">
      <c r="B77" s="9" t="s">
        <v>82</v>
      </c>
    </row>
    <row r="78" spans="2:2" x14ac:dyDescent="0.3">
      <c r="B78" s="10" t="s">
        <v>444</v>
      </c>
    </row>
    <row r="79" spans="2:2" x14ac:dyDescent="0.3">
      <c r="B79" s="10"/>
    </row>
    <row r="80" spans="2:2" x14ac:dyDescent="0.3">
      <c r="B80" s="10" t="s">
        <v>83</v>
      </c>
    </row>
    <row r="81" spans="2:2" x14ac:dyDescent="0.3">
      <c r="B81" s="10" t="s">
        <v>445</v>
      </c>
    </row>
    <row r="82" spans="2:2" x14ac:dyDescent="0.3">
      <c r="B82" s="9" t="s">
        <v>446</v>
      </c>
    </row>
    <row r="83" spans="2:2" x14ac:dyDescent="0.3">
      <c r="B83" s="10" t="s">
        <v>447</v>
      </c>
    </row>
    <row r="84" spans="2:2" x14ac:dyDescent="0.3">
      <c r="B84" s="10" t="s">
        <v>448</v>
      </c>
    </row>
    <row r="85" spans="2:2" x14ac:dyDescent="0.3">
      <c r="B85" s="10" t="s">
        <v>449</v>
      </c>
    </row>
    <row r="86" spans="2:2" x14ac:dyDescent="0.3">
      <c r="B86" s="10" t="s">
        <v>450</v>
      </c>
    </row>
    <row r="87" spans="2:2" x14ac:dyDescent="0.3">
      <c r="B87" s="10" t="s">
        <v>451</v>
      </c>
    </row>
    <row r="88" spans="2:2" x14ac:dyDescent="0.3">
      <c r="B88" s="10" t="s">
        <v>452</v>
      </c>
    </row>
    <row r="89" spans="2:2" x14ac:dyDescent="0.3">
      <c r="B89" s="9" t="s">
        <v>453</v>
      </c>
    </row>
    <row r="90" spans="2:2" x14ac:dyDescent="0.3">
      <c r="B90" s="10" t="s">
        <v>454</v>
      </c>
    </row>
    <row r="91" spans="2:2" x14ac:dyDescent="0.3">
      <c r="B91" s="10" t="s">
        <v>455</v>
      </c>
    </row>
    <row r="92" spans="2:2" x14ac:dyDescent="0.3">
      <c r="B92" s="10" t="s">
        <v>456</v>
      </c>
    </row>
    <row r="93" spans="2:2" x14ac:dyDescent="0.3">
      <c r="B93" s="10" t="s">
        <v>457</v>
      </c>
    </row>
    <row r="94" spans="2:2" x14ac:dyDescent="0.3">
      <c r="B94" s="10"/>
    </row>
    <row r="95" spans="2:2" x14ac:dyDescent="0.3">
      <c r="B95" s="10" t="s">
        <v>458</v>
      </c>
    </row>
    <row r="97" spans="2:2" x14ac:dyDescent="0.3">
      <c r="B97" s="10" t="s">
        <v>82</v>
      </c>
    </row>
    <row r="98" spans="2:2" x14ac:dyDescent="0.3">
      <c r="B98" s="10" t="s">
        <v>459</v>
      </c>
    </row>
    <row r="100" spans="2:2" x14ac:dyDescent="0.3">
      <c r="B100" s="10" t="s">
        <v>83</v>
      </c>
    </row>
    <row r="101" spans="2:2" x14ac:dyDescent="0.3">
      <c r="B101" s="9" t="s">
        <v>460</v>
      </c>
    </row>
    <row r="102" spans="2:2" x14ac:dyDescent="0.3">
      <c r="B102" s="10" t="s">
        <v>461</v>
      </c>
    </row>
    <row r="103" spans="2:2" x14ac:dyDescent="0.3">
      <c r="B103" s="9" t="s">
        <v>462</v>
      </c>
    </row>
    <row r="104" spans="2:2" x14ac:dyDescent="0.3">
      <c r="B104" s="10" t="s">
        <v>463</v>
      </c>
    </row>
    <row r="105" spans="2:2" x14ac:dyDescent="0.3">
      <c r="B105" s="10" t="s">
        <v>464</v>
      </c>
    </row>
    <row r="106" spans="2:2" x14ac:dyDescent="0.3">
      <c r="B106" s="10" t="s">
        <v>465</v>
      </c>
    </row>
    <row r="107" spans="2:2" x14ac:dyDescent="0.3">
      <c r="B107" s="10" t="s">
        <v>466</v>
      </c>
    </row>
    <row r="108" spans="2:2" x14ac:dyDescent="0.3">
      <c r="B108" s="9" t="s">
        <v>467</v>
      </c>
    </row>
    <row r="109" spans="2:2" x14ac:dyDescent="0.3">
      <c r="B109" s="10" t="s">
        <v>468</v>
      </c>
    </row>
    <row r="110" spans="2:2" x14ac:dyDescent="0.3">
      <c r="B110" s="10" t="s">
        <v>469</v>
      </c>
    </row>
    <row r="111" spans="2:2" x14ac:dyDescent="0.3">
      <c r="B111" s="9" t="s">
        <v>470</v>
      </c>
    </row>
    <row r="112" spans="2:2" x14ac:dyDescent="0.3">
      <c r="B112" s="9" t="s">
        <v>471</v>
      </c>
    </row>
    <row r="113" spans="2:2" x14ac:dyDescent="0.3">
      <c r="B113" s="9" t="s">
        <v>472</v>
      </c>
    </row>
    <row r="114" spans="2:2" x14ac:dyDescent="0.3">
      <c r="B114" s="10"/>
    </row>
    <row r="115" spans="2:2" x14ac:dyDescent="0.3">
      <c r="B115" s="9" t="s">
        <v>473</v>
      </c>
    </row>
    <row r="117" spans="2:2" x14ac:dyDescent="0.3">
      <c r="B117" s="10" t="s">
        <v>82</v>
      </c>
    </row>
    <row r="118" spans="2:2" x14ac:dyDescent="0.3">
      <c r="B118" s="9" t="s">
        <v>474</v>
      </c>
    </row>
    <row r="120" spans="2:2" x14ac:dyDescent="0.3">
      <c r="B120" s="10" t="s">
        <v>83</v>
      </c>
    </row>
    <row r="121" spans="2:2" x14ac:dyDescent="0.3">
      <c r="B121" s="10" t="s">
        <v>475</v>
      </c>
    </row>
    <row r="122" spans="2:2" x14ac:dyDescent="0.3">
      <c r="B122" s="10" t="s">
        <v>476</v>
      </c>
    </row>
    <row r="123" spans="2:2" x14ac:dyDescent="0.3">
      <c r="B123" s="10" t="s">
        <v>477</v>
      </c>
    </row>
    <row r="124" spans="2:2" x14ac:dyDescent="0.3">
      <c r="B124" s="10" t="s">
        <v>478</v>
      </c>
    </row>
    <row r="125" spans="2:2" x14ac:dyDescent="0.3">
      <c r="B125" s="10" t="s">
        <v>479</v>
      </c>
    </row>
    <row r="126" spans="2:2" x14ac:dyDescent="0.3">
      <c r="B126" s="9" t="s">
        <v>480</v>
      </c>
    </row>
    <row r="127" spans="2:2" x14ac:dyDescent="0.3">
      <c r="B127" s="10" t="s">
        <v>481</v>
      </c>
    </row>
    <row r="128" spans="2:2" x14ac:dyDescent="0.3">
      <c r="B128" s="10" t="s">
        <v>482</v>
      </c>
    </row>
    <row r="129" spans="2:2" x14ac:dyDescent="0.3">
      <c r="B129" s="9" t="s">
        <v>483</v>
      </c>
    </row>
    <row r="130" spans="2:2" x14ac:dyDescent="0.3">
      <c r="B130" s="9" t="s">
        <v>484</v>
      </c>
    </row>
    <row r="131" spans="2:2" x14ac:dyDescent="0.3">
      <c r="B131" s="9" t="s">
        <v>485</v>
      </c>
    </row>
    <row r="132" spans="2:2" x14ac:dyDescent="0.3">
      <c r="B132" s="9" t="s">
        <v>486</v>
      </c>
    </row>
    <row r="133" spans="2:2" x14ac:dyDescent="0.3">
      <c r="B133" s="9" t="s">
        <v>487</v>
      </c>
    </row>
    <row r="135" spans="2:2" x14ac:dyDescent="0.3">
      <c r="B135" s="9" t="s">
        <v>488</v>
      </c>
    </row>
    <row r="137" spans="2:2" x14ac:dyDescent="0.3">
      <c r="B137" s="10" t="s">
        <v>82</v>
      </c>
    </row>
    <row r="138" spans="2:2" x14ac:dyDescent="0.3">
      <c r="B138" s="9" t="s">
        <v>489</v>
      </c>
    </row>
    <row r="140" spans="2:2" x14ac:dyDescent="0.3">
      <c r="B140" s="10" t="s">
        <v>83</v>
      </c>
    </row>
    <row r="141" spans="2:2" x14ac:dyDescent="0.3">
      <c r="B141" s="9" t="s">
        <v>490</v>
      </c>
    </row>
    <row r="142" spans="2:2" x14ac:dyDescent="0.3">
      <c r="B142" s="9" t="s">
        <v>491</v>
      </c>
    </row>
    <row r="143" spans="2:2" x14ac:dyDescent="0.3">
      <c r="B143" s="9" t="s">
        <v>492</v>
      </c>
    </row>
    <row r="144" spans="2:2" x14ac:dyDescent="0.3">
      <c r="B144" s="9" t="s">
        <v>493</v>
      </c>
    </row>
    <row r="145" spans="2:2" x14ac:dyDescent="0.3">
      <c r="B145" s="9" t="s">
        <v>494</v>
      </c>
    </row>
    <row r="146" spans="2:2" x14ac:dyDescent="0.3">
      <c r="B146" s="9" t="s">
        <v>495</v>
      </c>
    </row>
    <row r="147" spans="2:2" x14ac:dyDescent="0.3">
      <c r="B147" s="10" t="s">
        <v>496</v>
      </c>
    </row>
    <row r="148" spans="2:2" x14ac:dyDescent="0.3">
      <c r="B148" s="9" t="s">
        <v>497</v>
      </c>
    </row>
    <row r="149" spans="2:2" x14ac:dyDescent="0.3">
      <c r="B149" s="9" t="s">
        <v>498</v>
      </c>
    </row>
    <row r="150" spans="2:2" x14ac:dyDescent="0.3">
      <c r="B150" s="9" t="s">
        <v>499</v>
      </c>
    </row>
    <row r="151" spans="2:2" x14ac:dyDescent="0.3">
      <c r="B151" s="9" t="s">
        <v>500</v>
      </c>
    </row>
    <row r="152" spans="2:2" x14ac:dyDescent="0.3">
      <c r="B152" s="9" t="s">
        <v>501</v>
      </c>
    </row>
    <row r="153" spans="2:2" x14ac:dyDescent="0.3">
      <c r="B153" s="9" t="s">
        <v>502</v>
      </c>
    </row>
    <row r="154" spans="2:2" x14ac:dyDescent="0.3">
      <c r="B154" s="10"/>
    </row>
    <row r="155" spans="2:2" x14ac:dyDescent="0.3">
      <c r="B155" s="9" t="s">
        <v>113</v>
      </c>
    </row>
    <row r="157" spans="2:2" x14ac:dyDescent="0.3">
      <c r="B157" s="9" t="s">
        <v>84</v>
      </c>
    </row>
    <row r="159" spans="2:2" x14ac:dyDescent="0.3">
      <c r="B159" s="9" t="s">
        <v>79</v>
      </c>
    </row>
    <row r="162" spans="2:2" x14ac:dyDescent="0.3">
      <c r="B162" s="9" t="s">
        <v>116</v>
      </c>
    </row>
    <row r="164" spans="2:2" x14ac:dyDescent="0.3">
      <c r="B164" s="9" t="s">
        <v>105</v>
      </c>
    </row>
    <row r="166" spans="2:2" x14ac:dyDescent="0.3">
      <c r="B166" s="9" t="s">
        <v>114</v>
      </c>
    </row>
    <row r="168" spans="2:2" x14ac:dyDescent="0.3">
      <c r="B168" s="9" t="s">
        <v>503</v>
      </c>
    </row>
    <row r="170" spans="2:2" x14ac:dyDescent="0.3">
      <c r="B170" s="9" t="s">
        <v>504</v>
      </c>
    </row>
    <row r="171" spans="2:2" x14ac:dyDescent="0.3">
      <c r="B171" s="9" t="s">
        <v>505</v>
      </c>
    </row>
    <row r="172" spans="2:2" x14ac:dyDescent="0.3">
      <c r="B172" s="9" t="s">
        <v>506</v>
      </c>
    </row>
    <row r="173" spans="2:2" x14ac:dyDescent="0.3">
      <c r="B173" s="9" t="s">
        <v>507</v>
      </c>
    </row>
    <row r="174" spans="2:2" x14ac:dyDescent="0.3">
      <c r="B174" s="9" t="s">
        <v>508</v>
      </c>
    </row>
    <row r="175" spans="2:2" x14ac:dyDescent="0.3">
      <c r="B175" s="9" t="s">
        <v>509</v>
      </c>
    </row>
    <row r="176" spans="2:2" x14ac:dyDescent="0.3">
      <c r="B176" s="9" t="s">
        <v>510</v>
      </c>
    </row>
    <row r="178" spans="2:2" x14ac:dyDescent="0.3">
      <c r="B178" s="9" t="s">
        <v>511</v>
      </c>
    </row>
    <row r="180" spans="2:2" x14ac:dyDescent="0.3">
      <c r="B180" s="9" t="s">
        <v>728</v>
      </c>
    </row>
    <row r="181" spans="2:2" x14ac:dyDescent="0.3">
      <c r="B181" s="9" t="s">
        <v>729</v>
      </c>
    </row>
    <row r="182" spans="2:2" x14ac:dyDescent="0.3">
      <c r="B182" s="9" t="s">
        <v>730</v>
      </c>
    </row>
    <row r="183" spans="2:2" x14ac:dyDescent="0.3">
      <c r="B183" s="9" t="s">
        <v>731</v>
      </c>
    </row>
    <row r="184" spans="2:2" x14ac:dyDescent="0.3">
      <c r="B184" s="9" t="s">
        <v>732</v>
      </c>
    </row>
    <row r="185" spans="2:2" x14ac:dyDescent="0.3">
      <c r="B185" s="9" t="s">
        <v>733</v>
      </c>
    </row>
    <row r="187" spans="2:2" x14ac:dyDescent="0.3">
      <c r="B187" s="10" t="s">
        <v>512</v>
      </c>
    </row>
    <row r="189" spans="2:2" x14ac:dyDescent="0.3">
      <c r="B189" s="10" t="s">
        <v>513</v>
      </c>
    </row>
    <row r="190" spans="2:2" x14ac:dyDescent="0.3">
      <c r="B190" s="9" t="s">
        <v>514</v>
      </c>
    </row>
    <row r="191" spans="2:2" x14ac:dyDescent="0.3">
      <c r="B191" s="10" t="s">
        <v>515</v>
      </c>
    </row>
    <row r="192" spans="2:2" x14ac:dyDescent="0.3">
      <c r="B192" s="10" t="s">
        <v>516</v>
      </c>
    </row>
    <row r="193" spans="2:2" x14ac:dyDescent="0.3">
      <c r="B193" s="9" t="s">
        <v>517</v>
      </c>
    </row>
    <row r="194" spans="2:2" x14ac:dyDescent="0.3">
      <c r="B194" s="10" t="s">
        <v>518</v>
      </c>
    </row>
    <row r="195" spans="2:2" x14ac:dyDescent="0.3">
      <c r="B195" s="9" t="s">
        <v>519</v>
      </c>
    </row>
    <row r="196" spans="2:2" x14ac:dyDescent="0.3">
      <c r="B196" s="10" t="s">
        <v>520</v>
      </c>
    </row>
    <row r="197" spans="2:2" x14ac:dyDescent="0.3">
      <c r="B197" s="9" t="s">
        <v>521</v>
      </c>
    </row>
    <row r="198" spans="2:2" x14ac:dyDescent="0.3">
      <c r="B198" s="9" t="s">
        <v>522</v>
      </c>
    </row>
    <row r="199" spans="2:2" x14ac:dyDescent="0.3">
      <c r="B199" s="9" t="s">
        <v>523</v>
      </c>
    </row>
    <row r="200" spans="2:2" x14ac:dyDescent="0.3">
      <c r="B200" s="9" t="s">
        <v>524</v>
      </c>
    </row>
    <row r="201" spans="2:2" x14ac:dyDescent="0.3">
      <c r="B201" s="9" t="s">
        <v>525</v>
      </c>
    </row>
    <row r="203" spans="2:2" x14ac:dyDescent="0.3">
      <c r="B203" s="10" t="s">
        <v>526</v>
      </c>
    </row>
    <row r="205" spans="2:2" x14ac:dyDescent="0.3">
      <c r="B205" s="10" t="s">
        <v>527</v>
      </c>
    </row>
    <row r="206" spans="2:2" x14ac:dyDescent="0.3">
      <c r="B206" s="9" t="s">
        <v>528</v>
      </c>
    </row>
    <row r="207" spans="2:2" x14ac:dyDescent="0.3">
      <c r="B207" s="10" t="s">
        <v>529</v>
      </c>
    </row>
    <row r="208" spans="2:2" x14ac:dyDescent="0.3">
      <c r="B208" s="9" t="s">
        <v>530</v>
      </c>
    </row>
    <row r="209" spans="2:2" x14ac:dyDescent="0.3">
      <c r="B209" s="9" t="s">
        <v>531</v>
      </c>
    </row>
    <row r="210" spans="2:2" x14ac:dyDescent="0.3">
      <c r="B210" s="9" t="s">
        <v>532</v>
      </c>
    </row>
    <row r="211" spans="2:2" x14ac:dyDescent="0.3">
      <c r="B211" s="9" t="s">
        <v>533</v>
      </c>
    </row>
    <row r="212" spans="2:2" x14ac:dyDescent="0.3">
      <c r="B212" s="10" t="s">
        <v>534</v>
      </c>
    </row>
    <row r="213" spans="2:2" x14ac:dyDescent="0.3">
      <c r="B213" s="9" t="s">
        <v>535</v>
      </c>
    </row>
    <row r="214" spans="2:2" x14ac:dyDescent="0.3">
      <c r="B214" s="10" t="s">
        <v>536</v>
      </c>
    </row>
    <row r="215" spans="2:2" x14ac:dyDescent="0.3">
      <c r="B215" s="9" t="s">
        <v>537</v>
      </c>
    </row>
    <row r="216" spans="2:2" x14ac:dyDescent="0.3">
      <c r="B216" s="10" t="s">
        <v>538</v>
      </c>
    </row>
    <row r="217" spans="2:2" x14ac:dyDescent="0.3">
      <c r="B217" s="9" t="s">
        <v>539</v>
      </c>
    </row>
    <row r="219" spans="2:2" x14ac:dyDescent="0.3">
      <c r="B219" s="9" t="s">
        <v>540</v>
      </c>
    </row>
    <row r="221" spans="2:2" x14ac:dyDescent="0.3">
      <c r="B221" s="9" t="s">
        <v>541</v>
      </c>
    </row>
    <row r="222" spans="2:2" x14ac:dyDescent="0.3">
      <c r="B222" s="9" t="s">
        <v>542</v>
      </c>
    </row>
    <row r="223" spans="2:2" x14ac:dyDescent="0.3">
      <c r="B223" s="9" t="s">
        <v>543</v>
      </c>
    </row>
    <row r="224" spans="2:2" x14ac:dyDescent="0.3">
      <c r="B224" s="9" t="s">
        <v>544</v>
      </c>
    </row>
    <row r="225" spans="2:2" x14ac:dyDescent="0.3">
      <c r="B225" s="9" t="s">
        <v>545</v>
      </c>
    </row>
    <row r="226" spans="2:2" x14ac:dyDescent="0.3">
      <c r="B226" s="9" t="s">
        <v>546</v>
      </c>
    </row>
    <row r="227" spans="2:2" x14ac:dyDescent="0.3">
      <c r="B227" s="9" t="s">
        <v>547</v>
      </c>
    </row>
    <row r="228" spans="2:2" x14ac:dyDescent="0.3">
      <c r="B228" s="9" t="s">
        <v>548</v>
      </c>
    </row>
    <row r="229" spans="2:2" x14ac:dyDescent="0.3">
      <c r="B229" s="9" t="s">
        <v>549</v>
      </c>
    </row>
    <row r="230" spans="2:2" x14ac:dyDescent="0.3">
      <c r="B230" s="9" t="s">
        <v>550</v>
      </c>
    </row>
    <row r="231" spans="2:2" x14ac:dyDescent="0.3">
      <c r="B231" s="9" t="s">
        <v>551</v>
      </c>
    </row>
    <row r="232" spans="2:2" x14ac:dyDescent="0.3">
      <c r="B232" s="9" t="s">
        <v>552</v>
      </c>
    </row>
    <row r="233" spans="2:2" x14ac:dyDescent="0.3">
      <c r="B233" s="10" t="s">
        <v>553</v>
      </c>
    </row>
    <row r="235" spans="2:2" x14ac:dyDescent="0.3">
      <c r="B235" s="10" t="s">
        <v>554</v>
      </c>
    </row>
    <row r="237" spans="2:2" x14ac:dyDescent="0.3">
      <c r="B237" s="10" t="s">
        <v>555</v>
      </c>
    </row>
    <row r="238" spans="2:2" x14ac:dyDescent="0.3">
      <c r="B238" s="9" t="s">
        <v>556</v>
      </c>
    </row>
    <row r="239" spans="2:2" x14ac:dyDescent="0.3">
      <c r="B239" s="9" t="s">
        <v>557</v>
      </c>
    </row>
    <row r="240" spans="2:2" x14ac:dyDescent="0.3">
      <c r="B240" s="9" t="s">
        <v>558</v>
      </c>
    </row>
    <row r="241" spans="2:2" x14ac:dyDescent="0.3">
      <c r="B241" s="9" t="s">
        <v>559</v>
      </c>
    </row>
    <row r="242" spans="2:2" x14ac:dyDescent="0.3">
      <c r="B242" s="9" t="s">
        <v>560</v>
      </c>
    </row>
    <row r="243" spans="2:2" x14ac:dyDescent="0.3">
      <c r="B243" s="9" t="s">
        <v>561</v>
      </c>
    </row>
    <row r="244" spans="2:2" x14ac:dyDescent="0.3">
      <c r="B244" s="9" t="s">
        <v>562</v>
      </c>
    </row>
    <row r="245" spans="2:2" x14ac:dyDescent="0.3">
      <c r="B245" s="9" t="s">
        <v>563</v>
      </c>
    </row>
    <row r="246" spans="2:2" x14ac:dyDescent="0.3">
      <c r="B246" s="9" t="s">
        <v>564</v>
      </c>
    </row>
    <row r="247" spans="2:2" x14ac:dyDescent="0.3">
      <c r="B247" s="9" t="s">
        <v>565</v>
      </c>
    </row>
    <row r="248" spans="2:2" x14ac:dyDescent="0.3">
      <c r="B248" s="9" t="s">
        <v>566</v>
      </c>
    </row>
    <row r="249" spans="2:2" x14ac:dyDescent="0.3">
      <c r="B249" s="9" t="s">
        <v>567</v>
      </c>
    </row>
    <row r="251" spans="2:2" x14ac:dyDescent="0.3">
      <c r="B251" s="9" t="s">
        <v>568</v>
      </c>
    </row>
    <row r="253" spans="2:2" x14ac:dyDescent="0.3">
      <c r="B253" s="9" t="s">
        <v>569</v>
      </c>
    </row>
    <row r="254" spans="2:2" x14ac:dyDescent="0.3">
      <c r="B254" s="9" t="s">
        <v>570</v>
      </c>
    </row>
    <row r="255" spans="2:2" x14ac:dyDescent="0.3">
      <c r="B255" s="9" t="s">
        <v>571</v>
      </c>
    </row>
    <row r="256" spans="2:2" x14ac:dyDescent="0.3">
      <c r="B256" s="9" t="s">
        <v>572</v>
      </c>
    </row>
    <row r="257" spans="2:2" x14ac:dyDescent="0.3">
      <c r="B257" s="9" t="s">
        <v>573</v>
      </c>
    </row>
    <row r="258" spans="2:2" x14ac:dyDescent="0.3">
      <c r="B258" s="9" t="s">
        <v>574</v>
      </c>
    </row>
    <row r="259" spans="2:2" x14ac:dyDescent="0.3">
      <c r="B259" s="9" t="s">
        <v>575</v>
      </c>
    </row>
    <row r="260" spans="2:2" x14ac:dyDescent="0.3">
      <c r="B260" s="9" t="s">
        <v>576</v>
      </c>
    </row>
    <row r="261" spans="2:2" x14ac:dyDescent="0.3">
      <c r="B261" s="9" t="s">
        <v>577</v>
      </c>
    </row>
    <row r="262" spans="2:2" x14ac:dyDescent="0.3">
      <c r="B262" s="9" t="s">
        <v>578</v>
      </c>
    </row>
    <row r="263" spans="2:2" x14ac:dyDescent="0.3">
      <c r="B263" s="9" t="s">
        <v>579</v>
      </c>
    </row>
    <row r="264" spans="2:2" x14ac:dyDescent="0.3">
      <c r="B264" s="9" t="s">
        <v>580</v>
      </c>
    </row>
    <row r="265" spans="2:2" x14ac:dyDescent="0.3">
      <c r="B265" s="9" t="s">
        <v>581</v>
      </c>
    </row>
    <row r="268" spans="2:2" x14ac:dyDescent="0.3">
      <c r="B268" s="9" t="s">
        <v>117</v>
      </c>
    </row>
    <row r="270" spans="2:2" x14ac:dyDescent="0.3">
      <c r="B270" s="9" t="s">
        <v>84</v>
      </c>
    </row>
    <row r="272" spans="2:2" x14ac:dyDescent="0.3">
      <c r="B272" s="9" t="s">
        <v>79</v>
      </c>
    </row>
    <row r="275" spans="2:2" x14ac:dyDescent="0.3">
      <c r="B275" s="9" t="s">
        <v>108</v>
      </c>
    </row>
    <row r="277" spans="2:2" x14ac:dyDescent="0.3">
      <c r="B277" s="9" t="s">
        <v>105</v>
      </c>
    </row>
    <row r="279" spans="2:2" x14ac:dyDescent="0.3">
      <c r="B279" s="9" t="s">
        <v>582</v>
      </c>
    </row>
    <row r="280" spans="2:2" x14ac:dyDescent="0.3">
      <c r="B280" s="9" t="s">
        <v>583</v>
      </c>
    </row>
    <row r="281" spans="2:2" x14ac:dyDescent="0.3">
      <c r="B281" s="9" t="s">
        <v>584</v>
      </c>
    </row>
    <row r="282" spans="2:2" x14ac:dyDescent="0.3">
      <c r="B282" s="9" t="s">
        <v>585</v>
      </c>
    </row>
    <row r="283" spans="2:2" x14ac:dyDescent="0.3">
      <c r="B283" s="9" t="s">
        <v>586</v>
      </c>
    </row>
    <row r="284" spans="2:2" x14ac:dyDescent="0.3">
      <c r="B284" s="9" t="s">
        <v>587</v>
      </c>
    </row>
    <row r="285" spans="2:2" x14ac:dyDescent="0.3">
      <c r="B285" s="9" t="s">
        <v>588</v>
      </c>
    </row>
    <row r="286" spans="2:2" x14ac:dyDescent="0.3">
      <c r="B286" s="9" t="s">
        <v>118</v>
      </c>
    </row>
    <row r="288" spans="2:2" x14ac:dyDescent="0.3">
      <c r="B288" s="9" t="s">
        <v>84</v>
      </c>
    </row>
    <row r="290" spans="2:2" x14ac:dyDescent="0.3">
      <c r="B290" s="9" t="s">
        <v>79</v>
      </c>
    </row>
    <row r="293" spans="2:2" x14ac:dyDescent="0.3">
      <c r="B293" s="9" t="s">
        <v>101</v>
      </c>
    </row>
    <row r="295" spans="2:2" x14ac:dyDescent="0.3">
      <c r="B295" s="9" t="s">
        <v>589</v>
      </c>
    </row>
    <row r="296" spans="2:2" x14ac:dyDescent="0.3">
      <c r="B296" s="9" t="s">
        <v>590</v>
      </c>
    </row>
    <row r="297" spans="2:2" x14ac:dyDescent="0.3">
      <c r="B297" s="9" t="s">
        <v>591</v>
      </c>
    </row>
    <row r="298" spans="2:2" x14ac:dyDescent="0.3">
      <c r="B298" s="9" t="s">
        <v>592</v>
      </c>
    </row>
    <row r="299" spans="2:2" x14ac:dyDescent="0.3">
      <c r="B299" s="9" t="s">
        <v>593</v>
      </c>
    </row>
    <row r="300" spans="2:2" x14ac:dyDescent="0.3">
      <c r="B300" s="9" t="s">
        <v>594</v>
      </c>
    </row>
    <row r="301" spans="2:2" x14ac:dyDescent="0.3">
      <c r="B301" s="9" t="s">
        <v>595</v>
      </c>
    </row>
    <row r="303" spans="2:2" x14ac:dyDescent="0.3">
      <c r="B303" s="9" t="s">
        <v>79</v>
      </c>
    </row>
    <row r="306" spans="2:2" x14ac:dyDescent="0.3">
      <c r="B306" s="9" t="s">
        <v>102</v>
      </c>
    </row>
    <row r="308" spans="2:2" x14ac:dyDescent="0.3">
      <c r="B308" s="9" t="s">
        <v>85</v>
      </c>
    </row>
    <row r="310" spans="2:2" x14ac:dyDescent="0.3">
      <c r="B310" s="9" t="s">
        <v>596</v>
      </c>
    </row>
    <row r="311" spans="2:2" x14ac:dyDescent="0.3">
      <c r="B311" s="9" t="s">
        <v>597</v>
      </c>
    </row>
    <row r="312" spans="2:2" x14ac:dyDescent="0.3">
      <c r="B312" s="9" t="s">
        <v>598</v>
      </c>
    </row>
    <row r="313" spans="2:2" x14ac:dyDescent="0.3">
      <c r="B313" s="9" t="s">
        <v>599</v>
      </c>
    </row>
    <row r="314" spans="2:2" x14ac:dyDescent="0.3">
      <c r="B314" s="9" t="s">
        <v>600</v>
      </c>
    </row>
    <row r="315" spans="2:2" x14ac:dyDescent="0.3">
      <c r="B315" s="9" t="s">
        <v>601</v>
      </c>
    </row>
    <row r="316" spans="2:2" x14ac:dyDescent="0.3">
      <c r="B316" s="9" t="s">
        <v>602</v>
      </c>
    </row>
    <row r="318" spans="2:2" x14ac:dyDescent="0.3">
      <c r="B318" s="9" t="s">
        <v>79</v>
      </c>
    </row>
    <row r="321" spans="2:2" x14ac:dyDescent="0.3">
      <c r="B321" s="9" t="s">
        <v>109</v>
      </c>
    </row>
    <row r="323" spans="2:2" x14ac:dyDescent="0.3">
      <c r="B323" s="9" t="s">
        <v>119</v>
      </c>
    </row>
    <row r="325" spans="2:2" x14ac:dyDescent="0.3">
      <c r="B325" s="9" t="s">
        <v>105</v>
      </c>
    </row>
    <row r="327" spans="2:2" x14ac:dyDescent="0.3">
      <c r="B327" s="9" t="s">
        <v>115</v>
      </c>
    </row>
    <row r="329" spans="2:2" x14ac:dyDescent="0.3">
      <c r="B329" s="9" t="s">
        <v>603</v>
      </c>
    </row>
    <row r="330" spans="2:2" x14ac:dyDescent="0.3">
      <c r="B330" s="9" t="s">
        <v>604</v>
      </c>
    </row>
    <row r="331" spans="2:2" x14ac:dyDescent="0.3">
      <c r="B331" s="9" t="s">
        <v>605</v>
      </c>
    </row>
    <row r="332" spans="2:2" x14ac:dyDescent="0.3">
      <c r="B332" s="9" t="s">
        <v>606</v>
      </c>
    </row>
    <row r="333" spans="2:2" x14ac:dyDescent="0.3">
      <c r="B333" s="9" t="s">
        <v>607</v>
      </c>
    </row>
    <row r="334" spans="2:2" x14ac:dyDescent="0.3">
      <c r="B334" s="9" t="s">
        <v>608</v>
      </c>
    </row>
    <row r="335" spans="2:2" x14ac:dyDescent="0.3">
      <c r="B335" s="9" t="s">
        <v>609</v>
      </c>
    </row>
    <row r="336" spans="2:2" x14ac:dyDescent="0.3">
      <c r="B336" s="9" t="s">
        <v>120</v>
      </c>
    </row>
    <row r="338" spans="2:2" x14ac:dyDescent="0.3">
      <c r="B338" s="9" t="s">
        <v>84</v>
      </c>
    </row>
    <row r="340" spans="2:2" x14ac:dyDescent="0.3">
      <c r="B340" s="9" t="s">
        <v>86</v>
      </c>
    </row>
    <row r="342" spans="2:2" x14ac:dyDescent="0.3">
      <c r="B342" s="9" t="s">
        <v>79</v>
      </c>
    </row>
    <row r="345" spans="2:2" x14ac:dyDescent="0.3">
      <c r="B345" s="9" t="s">
        <v>106</v>
      </c>
    </row>
    <row r="347" spans="2:2" x14ac:dyDescent="0.3">
      <c r="B347" s="9" t="s">
        <v>107</v>
      </c>
    </row>
    <row r="349" spans="2:2" x14ac:dyDescent="0.3">
      <c r="B349" s="9" t="s">
        <v>417</v>
      </c>
    </row>
    <row r="351" spans="2:2" x14ac:dyDescent="0.3">
      <c r="B351" s="9" t="s">
        <v>610</v>
      </c>
    </row>
    <row r="352" spans="2:2" x14ac:dyDescent="0.3">
      <c r="B352" s="9" t="s">
        <v>611</v>
      </c>
    </row>
    <row r="354" spans="2:2" x14ac:dyDescent="0.3">
      <c r="B354" s="9" t="s">
        <v>426</v>
      </c>
    </row>
    <row r="356" spans="2:2" x14ac:dyDescent="0.3">
      <c r="B356" s="9" t="s">
        <v>612</v>
      </c>
    </row>
    <row r="357" spans="2:2" x14ac:dyDescent="0.3">
      <c r="B357" s="9" t="s">
        <v>613</v>
      </c>
    </row>
    <row r="359" spans="2:2" x14ac:dyDescent="0.3">
      <c r="B359" s="9" t="s">
        <v>428</v>
      </c>
    </row>
    <row r="361" spans="2:2" x14ac:dyDescent="0.3">
      <c r="B361" s="9" t="s">
        <v>614</v>
      </c>
    </row>
    <row r="362" spans="2:2" x14ac:dyDescent="0.3">
      <c r="B362" s="9" t="s">
        <v>615</v>
      </c>
    </row>
    <row r="364" spans="2:2" x14ac:dyDescent="0.3">
      <c r="B364" s="9" t="s">
        <v>443</v>
      </c>
    </row>
    <row r="366" spans="2:2" x14ac:dyDescent="0.3">
      <c r="B366" s="9" t="s">
        <v>616</v>
      </c>
    </row>
    <row r="367" spans="2:2" x14ac:dyDescent="0.3">
      <c r="B367" s="9" t="s">
        <v>617</v>
      </c>
    </row>
    <row r="369" spans="2:2" x14ac:dyDescent="0.3">
      <c r="B369" s="10" t="s">
        <v>458</v>
      </c>
    </row>
    <row r="371" spans="2:2" x14ac:dyDescent="0.3">
      <c r="B371" s="10" t="s">
        <v>614</v>
      </c>
    </row>
    <row r="372" spans="2:2" x14ac:dyDescent="0.3">
      <c r="B372" s="9" t="s">
        <v>618</v>
      </c>
    </row>
    <row r="373" spans="2:2" x14ac:dyDescent="0.3">
      <c r="B373" s="10"/>
    </row>
    <row r="374" spans="2:2" x14ac:dyDescent="0.3">
      <c r="B374" s="9" t="s">
        <v>473</v>
      </c>
    </row>
    <row r="376" spans="2:2" x14ac:dyDescent="0.3">
      <c r="B376" s="9" t="s">
        <v>614</v>
      </c>
    </row>
    <row r="377" spans="2:2" x14ac:dyDescent="0.3">
      <c r="B377" s="9" t="s">
        <v>619</v>
      </c>
    </row>
    <row r="378" spans="2:2" x14ac:dyDescent="0.3">
      <c r="B378" s="10"/>
    </row>
    <row r="379" spans="2:2" x14ac:dyDescent="0.3">
      <c r="B379" s="9" t="s">
        <v>488</v>
      </c>
    </row>
    <row r="380" spans="2:2" x14ac:dyDescent="0.3">
      <c r="B380" s="10"/>
    </row>
    <row r="381" spans="2:2" x14ac:dyDescent="0.3">
      <c r="B381" s="9" t="s">
        <v>614</v>
      </c>
    </row>
    <row r="382" spans="2:2" x14ac:dyDescent="0.3">
      <c r="B382" s="9" t="s">
        <v>620</v>
      </c>
    </row>
    <row r="384" spans="2:2" x14ac:dyDescent="0.3">
      <c r="B384" s="9" t="s">
        <v>121</v>
      </c>
    </row>
    <row r="386" spans="2:2" x14ac:dyDescent="0.3">
      <c r="B386" s="10" t="s">
        <v>84</v>
      </c>
    </row>
    <row r="387" spans="2:2" x14ac:dyDescent="0.3">
      <c r="B387" s="10"/>
    </row>
    <row r="388" spans="2:2" x14ac:dyDescent="0.3">
      <c r="B388" s="10" t="s">
        <v>87</v>
      </c>
    </row>
    <row r="389" spans="2:2" x14ac:dyDescent="0.3">
      <c r="B389" s="9" t="s">
        <v>88</v>
      </c>
    </row>
    <row r="391" spans="2:2" x14ac:dyDescent="0.3">
      <c r="B391" s="9" t="s">
        <v>89</v>
      </c>
    </row>
    <row r="392" spans="2:2" x14ac:dyDescent="0.3">
      <c r="B392" s="9" t="s">
        <v>90</v>
      </c>
    </row>
    <row r="394" spans="2:2" x14ac:dyDescent="0.3">
      <c r="B394" s="10" t="s">
        <v>89</v>
      </c>
    </row>
    <row r="395" spans="2:2" x14ac:dyDescent="0.3">
      <c r="B395" s="10" t="s">
        <v>91</v>
      </c>
    </row>
    <row r="396" spans="2:2" x14ac:dyDescent="0.3">
      <c r="B396" s="10" t="s">
        <v>92</v>
      </c>
    </row>
    <row r="398" spans="2:2" x14ac:dyDescent="0.3">
      <c r="B398" s="9" t="s">
        <v>93</v>
      </c>
    </row>
    <row r="400" spans="2:2" x14ac:dyDescent="0.3">
      <c r="B400" s="9" t="s">
        <v>94</v>
      </c>
    </row>
    <row r="401" spans="2:2" x14ac:dyDescent="0.3">
      <c r="B401" s="9" t="s">
        <v>95</v>
      </c>
    </row>
    <row r="402" spans="2:2" x14ac:dyDescent="0.3">
      <c r="B402" s="9" t="s">
        <v>96</v>
      </c>
    </row>
    <row r="403" spans="2:2" x14ac:dyDescent="0.3">
      <c r="B403" s="10" t="s">
        <v>97</v>
      </c>
    </row>
    <row r="404" spans="2:2" x14ac:dyDescent="0.3">
      <c r="B404" s="10"/>
    </row>
    <row r="405" spans="2:2" x14ac:dyDescent="0.3">
      <c r="B405" s="9" t="s">
        <v>98</v>
      </c>
    </row>
    <row r="407" spans="2:2" x14ac:dyDescent="0.3">
      <c r="B407" s="9" t="s">
        <v>79</v>
      </c>
    </row>
    <row r="410" spans="2:2" x14ac:dyDescent="0.3">
      <c r="B410" s="9" t="s">
        <v>110</v>
      </c>
    </row>
    <row r="411" spans="2:2" x14ac:dyDescent="0.3">
      <c r="B411" s="10"/>
    </row>
    <row r="412" spans="2:2" x14ac:dyDescent="0.3">
      <c r="B412" s="10" t="s">
        <v>105</v>
      </c>
    </row>
    <row r="414" spans="2:2" x14ac:dyDescent="0.3">
      <c r="B414" s="9" t="s">
        <v>621</v>
      </c>
    </row>
    <row r="416" spans="2:2" x14ac:dyDescent="0.3">
      <c r="B416" s="9" t="s">
        <v>622</v>
      </c>
    </row>
    <row r="417" spans="2:2" x14ac:dyDescent="0.3">
      <c r="B417" s="9" t="s">
        <v>623</v>
      </c>
    </row>
    <row r="418" spans="2:2" x14ac:dyDescent="0.3">
      <c r="B418" s="9" t="s">
        <v>624</v>
      </c>
    </row>
    <row r="419" spans="2:2" x14ac:dyDescent="0.3">
      <c r="B419" s="10" t="s">
        <v>625</v>
      </c>
    </row>
    <row r="420" spans="2:2" x14ac:dyDescent="0.3">
      <c r="B420" s="9" t="s">
        <v>626</v>
      </c>
    </row>
    <row r="421" spans="2:2" x14ac:dyDescent="0.3">
      <c r="B421" s="9" t="s">
        <v>627</v>
      </c>
    </row>
    <row r="422" spans="2:2" x14ac:dyDescent="0.3">
      <c r="B422" s="9" t="s">
        <v>628</v>
      </c>
    </row>
    <row r="424" spans="2:2" x14ac:dyDescent="0.3">
      <c r="B424" s="9" t="s">
        <v>629</v>
      </c>
    </row>
    <row r="426" spans="2:2" x14ac:dyDescent="0.3">
      <c r="B426" s="9" t="s">
        <v>734</v>
      </c>
    </row>
    <row r="427" spans="2:2" x14ac:dyDescent="0.3">
      <c r="B427" s="10" t="s">
        <v>735</v>
      </c>
    </row>
    <row r="428" spans="2:2" x14ac:dyDescent="0.3">
      <c r="B428" s="9" t="s">
        <v>736</v>
      </c>
    </row>
    <row r="429" spans="2:2" x14ac:dyDescent="0.3">
      <c r="B429" s="9" t="s">
        <v>737</v>
      </c>
    </row>
    <row r="430" spans="2:2" x14ac:dyDescent="0.3">
      <c r="B430" s="9" t="s">
        <v>738</v>
      </c>
    </row>
    <row r="431" spans="2:2" x14ac:dyDescent="0.3">
      <c r="B431" s="9" t="s">
        <v>739</v>
      </c>
    </row>
    <row r="433" spans="2:2" x14ac:dyDescent="0.3">
      <c r="B433" s="9" t="s">
        <v>630</v>
      </c>
    </row>
    <row r="435" spans="2:2" x14ac:dyDescent="0.3">
      <c r="B435" s="9" t="s">
        <v>631</v>
      </c>
    </row>
    <row r="436" spans="2:2" x14ac:dyDescent="0.3">
      <c r="B436" s="9" t="s">
        <v>632</v>
      </c>
    </row>
    <row r="437" spans="2:2" x14ac:dyDescent="0.3">
      <c r="B437" s="9" t="s">
        <v>633</v>
      </c>
    </row>
    <row r="438" spans="2:2" x14ac:dyDescent="0.3">
      <c r="B438" s="9" t="s">
        <v>634</v>
      </c>
    </row>
    <row r="439" spans="2:2" x14ac:dyDescent="0.3">
      <c r="B439" s="9" t="s">
        <v>635</v>
      </c>
    </row>
    <row r="440" spans="2:2" x14ac:dyDescent="0.3">
      <c r="B440" s="9" t="s">
        <v>636</v>
      </c>
    </row>
    <row r="441" spans="2:2" x14ac:dyDescent="0.3">
      <c r="B441" s="9" t="s">
        <v>637</v>
      </c>
    </row>
    <row r="442" spans="2:2" x14ac:dyDescent="0.3">
      <c r="B442" s="9" t="s">
        <v>638</v>
      </c>
    </row>
    <row r="443" spans="2:2" x14ac:dyDescent="0.3">
      <c r="B443" s="9" t="s">
        <v>639</v>
      </c>
    </row>
    <row r="444" spans="2:2" x14ac:dyDescent="0.3">
      <c r="B444" s="9" t="s">
        <v>640</v>
      </c>
    </row>
    <row r="445" spans="2:2" x14ac:dyDescent="0.3">
      <c r="B445" s="9" t="s">
        <v>641</v>
      </c>
    </row>
    <row r="446" spans="2:2" x14ac:dyDescent="0.3">
      <c r="B446" s="9" t="s">
        <v>642</v>
      </c>
    </row>
    <row r="447" spans="2:2" x14ac:dyDescent="0.3">
      <c r="B447" s="9" t="s">
        <v>643</v>
      </c>
    </row>
    <row r="449" spans="2:2" x14ac:dyDescent="0.3">
      <c r="B449" s="9" t="s">
        <v>644</v>
      </c>
    </row>
    <row r="451" spans="2:2" x14ac:dyDescent="0.3">
      <c r="B451" s="9" t="s">
        <v>645</v>
      </c>
    </row>
    <row r="452" spans="2:2" x14ac:dyDescent="0.3">
      <c r="B452" s="9" t="s">
        <v>646</v>
      </c>
    </row>
    <row r="453" spans="2:2" x14ac:dyDescent="0.3">
      <c r="B453" s="9" t="s">
        <v>647</v>
      </c>
    </row>
    <row r="454" spans="2:2" x14ac:dyDescent="0.3">
      <c r="B454" s="9" t="s">
        <v>648</v>
      </c>
    </row>
    <row r="455" spans="2:2" x14ac:dyDescent="0.3">
      <c r="B455" s="9" t="s">
        <v>649</v>
      </c>
    </row>
    <row r="456" spans="2:2" x14ac:dyDescent="0.3">
      <c r="B456" s="9" t="s">
        <v>650</v>
      </c>
    </row>
    <row r="457" spans="2:2" x14ac:dyDescent="0.3">
      <c r="B457" s="9" t="s">
        <v>651</v>
      </c>
    </row>
    <row r="458" spans="2:2" x14ac:dyDescent="0.3">
      <c r="B458" s="9" t="s">
        <v>652</v>
      </c>
    </row>
    <row r="459" spans="2:2" x14ac:dyDescent="0.3">
      <c r="B459" s="9" t="s">
        <v>653</v>
      </c>
    </row>
    <row r="460" spans="2:2" x14ac:dyDescent="0.3">
      <c r="B460" s="9" t="s">
        <v>654</v>
      </c>
    </row>
    <row r="461" spans="2:2" x14ac:dyDescent="0.3">
      <c r="B461" s="9" t="s">
        <v>655</v>
      </c>
    </row>
    <row r="462" spans="2:2" x14ac:dyDescent="0.3">
      <c r="B462" s="9" t="s">
        <v>656</v>
      </c>
    </row>
    <row r="463" spans="2:2" x14ac:dyDescent="0.3">
      <c r="B463" s="9" t="s">
        <v>657</v>
      </c>
    </row>
    <row r="465" spans="2:2" x14ac:dyDescent="0.3">
      <c r="B465" s="9" t="s">
        <v>630</v>
      </c>
    </row>
    <row r="467" spans="2:2" x14ac:dyDescent="0.3">
      <c r="B467" s="9" t="s">
        <v>658</v>
      </c>
    </row>
    <row r="468" spans="2:2" x14ac:dyDescent="0.3">
      <c r="B468" s="9" t="s">
        <v>659</v>
      </c>
    </row>
    <row r="469" spans="2:2" x14ac:dyDescent="0.3">
      <c r="B469" s="9" t="s">
        <v>660</v>
      </c>
    </row>
    <row r="470" spans="2:2" x14ac:dyDescent="0.3">
      <c r="B470" s="9" t="s">
        <v>661</v>
      </c>
    </row>
    <row r="471" spans="2:2" x14ac:dyDescent="0.3">
      <c r="B471" s="9" t="s">
        <v>662</v>
      </c>
    </row>
    <row r="472" spans="2:2" x14ac:dyDescent="0.3">
      <c r="B472" s="9" t="s">
        <v>663</v>
      </c>
    </row>
    <row r="473" spans="2:2" x14ac:dyDescent="0.3">
      <c r="B473" s="9" t="s">
        <v>664</v>
      </c>
    </row>
    <row r="474" spans="2:2" x14ac:dyDescent="0.3">
      <c r="B474" s="9" t="s">
        <v>665</v>
      </c>
    </row>
    <row r="475" spans="2:2" x14ac:dyDescent="0.3">
      <c r="B475" s="9" t="s">
        <v>666</v>
      </c>
    </row>
    <row r="476" spans="2:2" x14ac:dyDescent="0.3">
      <c r="B476" s="9" t="s">
        <v>667</v>
      </c>
    </row>
    <row r="477" spans="2:2" x14ac:dyDescent="0.3">
      <c r="B477" s="9" t="s">
        <v>668</v>
      </c>
    </row>
    <row r="478" spans="2:2" x14ac:dyDescent="0.3">
      <c r="B478" s="9" t="s">
        <v>669</v>
      </c>
    </row>
    <row r="479" spans="2:2" x14ac:dyDescent="0.3">
      <c r="B479" s="9" t="s">
        <v>670</v>
      </c>
    </row>
    <row r="481" spans="2:2" x14ac:dyDescent="0.3">
      <c r="B481" s="9" t="s">
        <v>630</v>
      </c>
    </row>
    <row r="483" spans="2:2" x14ac:dyDescent="0.3">
      <c r="B483" s="9" t="s">
        <v>671</v>
      </c>
    </row>
    <row r="484" spans="2:2" x14ac:dyDescent="0.3">
      <c r="B484" s="9" t="s">
        <v>672</v>
      </c>
    </row>
    <row r="485" spans="2:2" x14ac:dyDescent="0.3">
      <c r="B485" s="9" t="s">
        <v>673</v>
      </c>
    </row>
    <row r="486" spans="2:2" x14ac:dyDescent="0.3">
      <c r="B486" s="9" t="s">
        <v>674</v>
      </c>
    </row>
    <row r="487" spans="2:2" x14ac:dyDescent="0.3">
      <c r="B487" s="9" t="s">
        <v>675</v>
      </c>
    </row>
    <row r="488" spans="2:2" x14ac:dyDescent="0.3">
      <c r="B488" s="9" t="s">
        <v>676</v>
      </c>
    </row>
    <row r="489" spans="2:2" x14ac:dyDescent="0.3">
      <c r="B489" s="9" t="s">
        <v>677</v>
      </c>
    </row>
    <row r="490" spans="2:2" x14ac:dyDescent="0.3">
      <c r="B490" s="9" t="s">
        <v>678</v>
      </c>
    </row>
    <row r="491" spans="2:2" x14ac:dyDescent="0.3">
      <c r="B491" s="9" t="s">
        <v>679</v>
      </c>
    </row>
    <row r="492" spans="2:2" x14ac:dyDescent="0.3">
      <c r="B492" s="9" t="s">
        <v>680</v>
      </c>
    </row>
    <row r="493" spans="2:2" x14ac:dyDescent="0.3">
      <c r="B493" s="9" t="s">
        <v>681</v>
      </c>
    </row>
    <row r="494" spans="2:2" x14ac:dyDescent="0.3">
      <c r="B494" s="9" t="s">
        <v>682</v>
      </c>
    </row>
    <row r="495" spans="2:2" x14ac:dyDescent="0.3">
      <c r="B495" s="9" t="s">
        <v>683</v>
      </c>
    </row>
    <row r="497" spans="2:2" x14ac:dyDescent="0.3">
      <c r="B497" s="9" t="s">
        <v>630</v>
      </c>
    </row>
    <row r="499" spans="2:2" x14ac:dyDescent="0.3">
      <c r="B499" s="9" t="s">
        <v>684</v>
      </c>
    </row>
    <row r="500" spans="2:2" x14ac:dyDescent="0.3">
      <c r="B500" s="9" t="s">
        <v>685</v>
      </c>
    </row>
    <row r="501" spans="2:2" x14ac:dyDescent="0.3">
      <c r="B501" s="9" t="s">
        <v>686</v>
      </c>
    </row>
    <row r="502" spans="2:2" x14ac:dyDescent="0.3">
      <c r="B502" s="9" t="s">
        <v>687</v>
      </c>
    </row>
    <row r="503" spans="2:2" x14ac:dyDescent="0.3">
      <c r="B503" s="9" t="s">
        <v>688</v>
      </c>
    </row>
    <row r="504" spans="2:2" x14ac:dyDescent="0.3">
      <c r="B504" s="9" t="s">
        <v>689</v>
      </c>
    </row>
    <row r="505" spans="2:2" x14ac:dyDescent="0.3">
      <c r="B505" s="9" t="s">
        <v>690</v>
      </c>
    </row>
    <row r="506" spans="2:2" x14ac:dyDescent="0.3">
      <c r="B506" s="9" t="s">
        <v>691</v>
      </c>
    </row>
    <row r="507" spans="2:2" x14ac:dyDescent="0.3">
      <c r="B507" s="9" t="s">
        <v>692</v>
      </c>
    </row>
    <row r="508" spans="2:2" x14ac:dyDescent="0.3">
      <c r="B508" s="9" t="s">
        <v>693</v>
      </c>
    </row>
    <row r="509" spans="2:2" x14ac:dyDescent="0.3">
      <c r="B509" s="9" t="s">
        <v>694</v>
      </c>
    </row>
    <row r="510" spans="2:2" x14ac:dyDescent="0.3">
      <c r="B510" s="9" t="s">
        <v>695</v>
      </c>
    </row>
    <row r="511" spans="2:2" x14ac:dyDescent="0.3">
      <c r="B511" s="9" t="s">
        <v>696</v>
      </c>
    </row>
    <row r="513" spans="2:2" x14ac:dyDescent="0.3">
      <c r="B513" s="9" t="s">
        <v>122</v>
      </c>
    </row>
    <row r="515" spans="2:2" x14ac:dyDescent="0.3">
      <c r="B515" s="9" t="s">
        <v>84</v>
      </c>
    </row>
    <row r="518" spans="2:2" x14ac:dyDescent="0.3">
      <c r="B518" s="9" t="s">
        <v>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lectCode">
                <anchor moveWithCells="1" sizeWithCells="1">
                  <from>
                    <xdr:col>0</xdr:col>
                    <xdr:colOff>76200</xdr:colOff>
                    <xdr:row>0</xdr:row>
                    <xdr:rowOff>161925</xdr:rowOff>
                  </from>
                  <to>
                    <xdr:col>0</xdr:col>
                    <xdr:colOff>1095375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roduceSetters">
                <anchor moveWithCells="1" sizeWithCells="1">
                  <from>
                    <xdr:col>0</xdr:col>
                    <xdr:colOff>76200</xdr:colOff>
                    <xdr:row>5</xdr:row>
                    <xdr:rowOff>85725</xdr:rowOff>
                  </from>
                  <to>
                    <xdr:col>0</xdr:col>
                    <xdr:colOff>1009650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</vt:lpstr>
      <vt:lpstr>Declarations</vt:lpstr>
      <vt:lpstr>Setters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Forrest Baird</dc:creator>
  <cp:lastModifiedBy>Forrest Baird</cp:lastModifiedBy>
  <dcterms:created xsi:type="dcterms:W3CDTF">2021-04-08T17:54:39Z</dcterms:created>
  <dcterms:modified xsi:type="dcterms:W3CDTF">2021-06-07T21:49:43Z</dcterms:modified>
</cp:coreProperties>
</file>